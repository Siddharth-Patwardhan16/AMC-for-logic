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counts Department\2026-27\AMC\"/>
    </mc:Choice>
  </mc:AlternateContent>
  <xr:revisionPtr revIDLastSave="0" documentId="13_ncr:1_{7E65AC20-4395-4633-8C63-2D4B9BF5CEB1}" xr6:coauthVersionLast="47" xr6:coauthVersionMax="47" xr10:uidLastSave="{00000000-0000-0000-0000-000000000000}"/>
  <bookViews>
    <workbookView xWindow="-120" yWindow="-120" windowWidth="20730" windowHeight="11160" xr2:uid="{5C86893D-14B3-4C1B-9626-C851DFB097F7}"/>
  </bookViews>
  <sheets>
    <sheet name="Q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1" i="1" l="1"/>
  <c r="AB31" i="1" s="1"/>
  <c r="H31" i="1"/>
  <c r="H23" i="1"/>
  <c r="H24" i="1"/>
  <c r="H25" i="1"/>
  <c r="H26" i="1"/>
  <c r="H27" i="1"/>
  <c r="H28" i="1"/>
  <c r="H29" i="1"/>
  <c r="H30" i="1"/>
  <c r="H17" i="1"/>
  <c r="H18" i="1"/>
  <c r="H19" i="1"/>
  <c r="H20" i="1"/>
  <c r="H21" i="1"/>
  <c r="H22" i="1"/>
  <c r="H16" i="1"/>
  <c r="AD50" i="1"/>
  <c r="AC39" i="1"/>
  <c r="AD39" i="1" s="1"/>
  <c r="AB39" i="1"/>
  <c r="AA39" i="1"/>
  <c r="Z39" i="1"/>
  <c r="Y39" i="1"/>
  <c r="AC38" i="1"/>
  <c r="AD38" i="1" s="1"/>
  <c r="AB38" i="1"/>
  <c r="AA38" i="1"/>
  <c r="Z38" i="1"/>
  <c r="Y38" i="1"/>
  <c r="AC37" i="1"/>
  <c r="AD37" i="1" s="1"/>
  <c r="AC36" i="1"/>
  <c r="AD36" i="1" s="1"/>
  <c r="AB36" i="1"/>
  <c r="AA36" i="1"/>
  <c r="Z36" i="1"/>
  <c r="Y36" i="1"/>
  <c r="AC35" i="1"/>
  <c r="AD35" i="1" s="1"/>
  <c r="AB35" i="1"/>
  <c r="AA35" i="1"/>
  <c r="Z35" i="1"/>
  <c r="Y35" i="1"/>
  <c r="T6" i="1"/>
  <c r="T7" i="1"/>
  <c r="AB7" i="1" s="1"/>
  <c r="T8" i="1"/>
  <c r="T9" i="1"/>
  <c r="Z9" i="1" s="1"/>
  <c r="T10" i="1"/>
  <c r="AA10" i="1" s="1"/>
  <c r="T11" i="1"/>
  <c r="T12" i="1"/>
  <c r="T13" i="1"/>
  <c r="T14" i="1"/>
  <c r="AA14" i="1" s="1"/>
  <c r="T15" i="1"/>
  <c r="T16" i="1"/>
  <c r="T17" i="1"/>
  <c r="Z17" i="1" s="1"/>
  <c r="T18" i="1"/>
  <c r="AA18" i="1" s="1"/>
  <c r="T19" i="1"/>
  <c r="Y19" i="1" s="1"/>
  <c r="T20" i="1"/>
  <c r="Y20" i="1" s="1"/>
  <c r="T21" i="1"/>
  <c r="Z21" i="1" s="1"/>
  <c r="T22" i="1"/>
  <c r="T23" i="1"/>
  <c r="AB23" i="1" s="1"/>
  <c r="T24" i="1"/>
  <c r="T25" i="1"/>
  <c r="Z25" i="1" s="1"/>
  <c r="T26" i="1"/>
  <c r="T27" i="1"/>
  <c r="T28" i="1"/>
  <c r="Y28" i="1" s="1"/>
  <c r="T29" i="1"/>
  <c r="Z29" i="1" s="1"/>
  <c r="T30" i="1"/>
  <c r="AA30" i="1" s="1"/>
  <c r="X49" i="1"/>
  <c r="W49" i="1"/>
  <c r="V49" i="1"/>
  <c r="U49" i="1"/>
  <c r="T49" i="1"/>
  <c r="AB49" i="1" s="1"/>
  <c r="N49" i="1"/>
  <c r="H49" i="1"/>
  <c r="T48" i="1"/>
  <c r="AB48" i="1" s="1"/>
  <c r="T47" i="1"/>
  <c r="Z47" i="1" s="1"/>
  <c r="X46" i="1"/>
  <c r="W46" i="1"/>
  <c r="V46" i="1"/>
  <c r="U46" i="1"/>
  <c r="T46" i="1"/>
  <c r="AB46" i="1" s="1"/>
  <c r="AD43" i="1"/>
  <c r="AC43" i="1"/>
  <c r="X43" i="1"/>
  <c r="W43" i="1"/>
  <c r="V43" i="1"/>
  <c r="U43" i="1"/>
  <c r="T43" i="1"/>
  <c r="T42" i="1"/>
  <c r="AB42" i="1" s="1"/>
  <c r="X27" i="1"/>
  <c r="W27" i="1"/>
  <c r="V27" i="1"/>
  <c r="U27" i="1"/>
  <c r="X26" i="1"/>
  <c r="W26" i="1"/>
  <c r="V26" i="1"/>
  <c r="U26" i="1"/>
  <c r="X24" i="1"/>
  <c r="W24" i="1"/>
  <c r="V24" i="1"/>
  <c r="U24" i="1"/>
  <c r="N23" i="1"/>
  <c r="X22" i="1"/>
  <c r="W22" i="1"/>
  <c r="V22" i="1"/>
  <c r="U22" i="1"/>
  <c r="N22" i="1"/>
  <c r="N21" i="1"/>
  <c r="N20" i="1"/>
  <c r="X19" i="1"/>
  <c r="W19" i="1"/>
  <c r="V19" i="1"/>
  <c r="U19" i="1"/>
  <c r="X16" i="1"/>
  <c r="W16" i="1"/>
  <c r="V16" i="1"/>
  <c r="U16" i="1"/>
  <c r="N16" i="1"/>
  <c r="X15" i="1"/>
  <c r="W15" i="1"/>
  <c r="V15" i="1"/>
  <c r="U15" i="1"/>
  <c r="N15" i="1"/>
  <c r="N14" i="1"/>
  <c r="X13" i="1"/>
  <c r="W13" i="1"/>
  <c r="V13" i="1"/>
  <c r="U13" i="1"/>
  <c r="N13" i="1"/>
  <c r="H13" i="1"/>
  <c r="X12" i="1"/>
  <c r="W12" i="1"/>
  <c r="V12" i="1"/>
  <c r="U12" i="1"/>
  <c r="N12" i="1"/>
  <c r="H12" i="1"/>
  <c r="N11" i="1"/>
  <c r="N10" i="1"/>
  <c r="H10" i="1"/>
  <c r="N9" i="1"/>
  <c r="X8" i="1"/>
  <c r="W8" i="1"/>
  <c r="V8" i="1"/>
  <c r="U8" i="1"/>
  <c r="N8" i="1"/>
  <c r="H8" i="1"/>
  <c r="N7" i="1"/>
  <c r="H7" i="1"/>
  <c r="X6" i="1"/>
  <c r="W6" i="1"/>
  <c r="V6" i="1"/>
  <c r="U6" i="1"/>
  <c r="N6" i="1"/>
  <c r="H6" i="1"/>
  <c r="X5" i="1"/>
  <c r="W5" i="1"/>
  <c r="V5" i="1"/>
  <c r="U5" i="1"/>
  <c r="T5" i="1"/>
  <c r="N5" i="1"/>
  <c r="H5" i="1"/>
  <c r="Z31" i="1" l="1"/>
  <c r="AA31" i="1"/>
  <c r="Y31" i="1"/>
  <c r="AC31" i="1" s="1"/>
  <c r="Y23" i="1"/>
  <c r="AB14" i="1"/>
  <c r="AA21" i="1"/>
  <c r="Y13" i="1"/>
  <c r="Y27" i="1"/>
  <c r="Y24" i="1"/>
  <c r="Y16" i="1"/>
  <c r="Y12" i="1"/>
  <c r="AB30" i="1"/>
  <c r="Y9" i="1"/>
  <c r="AA13" i="1"/>
  <c r="Y15" i="1"/>
  <c r="AB26" i="1"/>
  <c r="Y29" i="1"/>
  <c r="AA29" i="1"/>
  <c r="Y8" i="1"/>
  <c r="AB27" i="1"/>
  <c r="AB19" i="1"/>
  <c r="AB15" i="1"/>
  <c r="Y25" i="1"/>
  <c r="Y17" i="1"/>
  <c r="Y7" i="1"/>
  <c r="AA17" i="1"/>
  <c r="AB10" i="1"/>
  <c r="AA26" i="1"/>
  <c r="AA22" i="1"/>
  <c r="AA6" i="1"/>
  <c r="AB22" i="1"/>
  <c r="AB6" i="1"/>
  <c r="Z13" i="1"/>
  <c r="Y21" i="1"/>
  <c r="AA25" i="1"/>
  <c r="AA9" i="1"/>
  <c r="AB18" i="1"/>
  <c r="Z24" i="1"/>
  <c r="Z12" i="1"/>
  <c r="Y30" i="1"/>
  <c r="Y26" i="1"/>
  <c r="Y22" i="1"/>
  <c r="Y18" i="1"/>
  <c r="Y14" i="1"/>
  <c r="Y10" i="1"/>
  <c r="Y6" i="1"/>
  <c r="Z27" i="1"/>
  <c r="Z23" i="1"/>
  <c r="Z19" i="1"/>
  <c r="Z15" i="1"/>
  <c r="Z7" i="1"/>
  <c r="AA28" i="1"/>
  <c r="AA24" i="1"/>
  <c r="AA20" i="1"/>
  <c r="AA16" i="1"/>
  <c r="AA12" i="1"/>
  <c r="AA8" i="1"/>
  <c r="AB29" i="1"/>
  <c r="AB25" i="1"/>
  <c r="AB21" i="1"/>
  <c r="AB17" i="1"/>
  <c r="AB13" i="1"/>
  <c r="AB9" i="1"/>
  <c r="AC9" i="1" s="1"/>
  <c r="Z20" i="1"/>
  <c r="Z8" i="1"/>
  <c r="Z30" i="1"/>
  <c r="Z26" i="1"/>
  <c r="Z22" i="1"/>
  <c r="Z18" i="1"/>
  <c r="Z14" i="1"/>
  <c r="Z10" i="1"/>
  <c r="Z6" i="1"/>
  <c r="AA27" i="1"/>
  <c r="AA23" i="1"/>
  <c r="AA19" i="1"/>
  <c r="AA15" i="1"/>
  <c r="AD11" i="1"/>
  <c r="AA7" i="1"/>
  <c r="AB28" i="1"/>
  <c r="AB24" i="1"/>
  <c r="AB20" i="1"/>
  <c r="AB16" i="1"/>
  <c r="AB12" i="1"/>
  <c r="AB8" i="1"/>
  <c r="Z28" i="1"/>
  <c r="Z16" i="1"/>
  <c r="AA48" i="1"/>
  <c r="Y5" i="1"/>
  <c r="Y48" i="1"/>
  <c r="Y46" i="1"/>
  <c r="AA46" i="1"/>
  <c r="Y42" i="1"/>
  <c r="Y47" i="1"/>
  <c r="Y49" i="1"/>
  <c r="Z42" i="1"/>
  <c r="AA47" i="1"/>
  <c r="AA42" i="1"/>
  <c r="Z5" i="1"/>
  <c r="AA5" i="1"/>
  <c r="Z46" i="1"/>
  <c r="AB47" i="1"/>
  <c r="Z48" i="1"/>
  <c r="Z49" i="1"/>
  <c r="AA49" i="1"/>
  <c r="AB5" i="1"/>
  <c r="AD31" i="1" l="1"/>
  <c r="AD7" i="1"/>
  <c r="AC16" i="1"/>
  <c r="AD23" i="1"/>
  <c r="AD27" i="1"/>
  <c r="AC13" i="1"/>
  <c r="AD29" i="1"/>
  <c r="AC27" i="1"/>
  <c r="AD17" i="1"/>
  <c r="AD24" i="1"/>
  <c r="AD25" i="1"/>
  <c r="AC17" i="1"/>
  <c r="AC21" i="1"/>
  <c r="AC25" i="1"/>
  <c r="AC7" i="1"/>
  <c r="AC23" i="1"/>
  <c r="AD16" i="1"/>
  <c r="AD8" i="1"/>
  <c r="AD15" i="1"/>
  <c r="AD20" i="1"/>
  <c r="AC11" i="1"/>
  <c r="AC12" i="1"/>
  <c r="AD28" i="1"/>
  <c r="AD12" i="1"/>
  <c r="AC19" i="1"/>
  <c r="AD26" i="1"/>
  <c r="AC26" i="1"/>
  <c r="AC46" i="1"/>
  <c r="AD30" i="1"/>
  <c r="AC30" i="1"/>
  <c r="AD9" i="1"/>
  <c r="AC8" i="1"/>
  <c r="AC24" i="1"/>
  <c r="AD21" i="1"/>
  <c r="AC29" i="1"/>
  <c r="AD19" i="1"/>
  <c r="AD6" i="1"/>
  <c r="AC6" i="1"/>
  <c r="AD22" i="1"/>
  <c r="AC22" i="1"/>
  <c r="AC20" i="1"/>
  <c r="AC28" i="1"/>
  <c r="AD13" i="1"/>
  <c r="AD10" i="1"/>
  <c r="AC10" i="1"/>
  <c r="AC49" i="1"/>
  <c r="AD14" i="1"/>
  <c r="AC14" i="1"/>
  <c r="AC15" i="1"/>
  <c r="AC47" i="1"/>
  <c r="AC48" i="1"/>
  <c r="AD18" i="1"/>
  <c r="AC18" i="1"/>
  <c r="AD48" i="1"/>
  <c r="AC42" i="1"/>
  <c r="AD49" i="1"/>
  <c r="AD47" i="1"/>
  <c r="AD46" i="1"/>
  <c r="AC5" i="1"/>
  <c r="AD42" i="1"/>
  <c r="AD5" i="1"/>
</calcChain>
</file>

<file path=xl/sharedStrings.xml><?xml version="1.0" encoding="utf-8"?>
<sst xmlns="http://schemas.openxmlformats.org/spreadsheetml/2006/main" count="185" uniqueCount="99">
  <si>
    <t xml:space="preserve"> </t>
  </si>
  <si>
    <t>Server</t>
  </si>
  <si>
    <t>Thinclient</t>
  </si>
  <si>
    <t>Laptop+Desktop</t>
  </si>
  <si>
    <t>Net amount( GST extra)</t>
  </si>
  <si>
    <t>Sr.no</t>
  </si>
  <si>
    <t>Name</t>
  </si>
  <si>
    <t>Description</t>
  </si>
  <si>
    <t>Company</t>
  </si>
  <si>
    <t>Location</t>
  </si>
  <si>
    <t>Rate yearly</t>
  </si>
  <si>
    <t>Rate Qtyly</t>
  </si>
  <si>
    <t>Qty Q1 Server</t>
  </si>
  <si>
    <t>Qty Q2 Server</t>
  </si>
  <si>
    <t>Qty Q3 Server</t>
  </si>
  <si>
    <t>Qty Q4 Server</t>
  </si>
  <si>
    <t xml:space="preserve">Qty Q1 </t>
  </si>
  <si>
    <t>Qty Q2 Thin clien</t>
  </si>
  <si>
    <t>Qty Q3 Thin clien</t>
  </si>
  <si>
    <t xml:space="preserve">Qty Q4 </t>
  </si>
  <si>
    <t>Final Rate</t>
  </si>
  <si>
    <t>Rate Qurterly</t>
  </si>
  <si>
    <t>Qty Q1-Laptop/desktop</t>
  </si>
  <si>
    <t>Qty Q2-Laptop/desktop</t>
  </si>
  <si>
    <t>Qty Q3-Laptop/desktop</t>
  </si>
  <si>
    <t>Qty Q4</t>
  </si>
  <si>
    <t>Amt Q1</t>
  </si>
  <si>
    <t>Amt Q2</t>
  </si>
  <si>
    <t>Amt Q3</t>
  </si>
  <si>
    <t>Amt Q4</t>
  </si>
  <si>
    <t>Qurterly total</t>
  </si>
  <si>
    <t>Yearly Amount</t>
  </si>
  <si>
    <t>Logic Systems</t>
  </si>
  <si>
    <t xml:space="preserve">Panva Engg. </t>
  </si>
  <si>
    <t>Logic</t>
  </si>
  <si>
    <t>Ambad</t>
  </si>
  <si>
    <t>Sanjay Tools</t>
  </si>
  <si>
    <t>Environ Planners -</t>
  </si>
  <si>
    <t>Nashik</t>
  </si>
  <si>
    <t xml:space="preserve">Panchal--PO </t>
  </si>
  <si>
    <t>Renukka R Industries</t>
  </si>
  <si>
    <t>Satpur</t>
  </si>
  <si>
    <t xml:space="preserve">Jankalyan blood bank </t>
  </si>
  <si>
    <t>The TJSB Sahakari bank--PO</t>
  </si>
  <si>
    <t>Suyash Enterprises</t>
  </si>
  <si>
    <t>Powerinst</t>
  </si>
  <si>
    <t>Teknocrats Control--</t>
  </si>
  <si>
    <t>rate fixed</t>
  </si>
  <si>
    <t>Nashik Insulation</t>
  </si>
  <si>
    <t>Only Desktops</t>
  </si>
  <si>
    <t>Nasa</t>
  </si>
  <si>
    <t>Joto Abrasive</t>
  </si>
  <si>
    <t>Konark Fabtech</t>
  </si>
  <si>
    <t>R&amp;D Therm</t>
  </si>
  <si>
    <t>Gogate electro</t>
  </si>
  <si>
    <t>satpur</t>
  </si>
  <si>
    <t>Krishna Pens pvt ltd</t>
  </si>
  <si>
    <t>Kaushal Karkhanis</t>
  </si>
  <si>
    <t>Linit Exports Pvt...(Shalaka shaft-Plant )</t>
  </si>
  <si>
    <r>
      <t>EI Graphite--</t>
    </r>
    <r>
      <rPr>
        <sz val="12"/>
        <color indexed="8"/>
        <rFont val="Arial"/>
        <family val="2"/>
      </rPr>
      <t xml:space="preserve"> </t>
    </r>
  </si>
  <si>
    <t>Cancelled-- call basis</t>
  </si>
  <si>
    <t>nashik</t>
  </si>
  <si>
    <t>Dixit Malpathak &amp; Associates</t>
  </si>
  <si>
    <t>Alcast Tech pvt Ltd</t>
  </si>
  <si>
    <t>Sinner</t>
  </si>
  <si>
    <t>The King Club pvt. Ltd</t>
  </si>
  <si>
    <t>Chandsi</t>
  </si>
  <si>
    <t xml:space="preserve">Jahagirdar Food </t>
  </si>
  <si>
    <t>Reve Pharma</t>
  </si>
  <si>
    <t xml:space="preserve">Prime Graphite -- as per PO </t>
  </si>
  <si>
    <t>Vidyut Udyog</t>
  </si>
  <si>
    <t>start from 1-8-24</t>
  </si>
  <si>
    <t>Suvidha Criticare Centre Pvt. Ltd</t>
  </si>
  <si>
    <t>Start from May 24</t>
  </si>
  <si>
    <t>Trambak Rubber-- Sinnar</t>
  </si>
  <si>
    <t>monthly billing -- for 11 months -start from May 25</t>
  </si>
  <si>
    <t xml:space="preserve">Trambak Rubber-- Nashik Office </t>
  </si>
  <si>
    <t>Separtaed from  Aug 25</t>
  </si>
  <si>
    <t>Sparky Industries</t>
  </si>
  <si>
    <t>Computerwala</t>
  </si>
  <si>
    <t>Modern Science Lab  Yearly--</t>
  </si>
  <si>
    <t>from Oct 25. start bill quartalry</t>
  </si>
  <si>
    <t>Yearly Done--Sept</t>
  </si>
  <si>
    <t>Sunbeam-</t>
  </si>
  <si>
    <t>Samartha Engineering..yearly</t>
  </si>
  <si>
    <t>Technophile-</t>
  </si>
  <si>
    <t>The turning point</t>
  </si>
  <si>
    <t>Bal shikshan Mandal</t>
  </si>
  <si>
    <t>Counting done on march 25.--actual 69 -30 in warranty</t>
  </si>
  <si>
    <t>Sangamner</t>
  </si>
  <si>
    <t xml:space="preserve">Monthly bill </t>
  </si>
  <si>
    <t>Computerwala--quqrterly</t>
  </si>
  <si>
    <t>Ca R D Gujrathi</t>
  </si>
  <si>
    <t xml:space="preserve"> Ganorkar Hospital </t>
  </si>
  <si>
    <t>start fromApril 26</t>
  </si>
  <si>
    <t>Sophos Firewall</t>
  </si>
  <si>
    <t>start from Sept 25</t>
  </si>
  <si>
    <t>Closed from Feb 26</t>
  </si>
  <si>
    <t>AMC Cancelled from Apr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</si>
</sst>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00B050"/>
      <name val="Arial"/>
      <family val="2"/>
    </font>
    <font>
      <sz val="12"/>
      <color rgb="FFFF0000"/>
      <name val="Arial"/>
      <family val="2"/>
    </font>
    <font>
      <sz val="12"/>
      <color theme="5"/>
      <name val="Arial"/>
      <family val="2"/>
    </font>
    <font>
      <sz val="12"/>
      <color indexed="8"/>
      <name val="Arial"/>
      <family val="2"/>
    </font>
    <font>
      <sz val="12"/>
      <color rgb="FFED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CEB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3" fillId="0" borderId="3" xfId="0" applyFont="1" applyBorder="1"/>
    <xf numFmtId="0" fontId="3" fillId="0" borderId="1" xfId="0" applyFont="1" applyBorder="1"/>
    <xf numFmtId="0" fontId="3" fillId="0" borderId="2" xfId="0" applyFont="1" applyBorder="1"/>
    <xf numFmtId="0" fontId="3" fillId="3" borderId="3" xfId="0" applyFont="1" applyFill="1" applyBorder="1"/>
    <xf numFmtId="43" fontId="5" fillId="0" borderId="0" xfId="1" applyFont="1" applyFill="1"/>
    <xf numFmtId="0" fontId="5" fillId="0" borderId="0" xfId="0" applyFont="1"/>
    <xf numFmtId="0" fontId="5" fillId="0" borderId="3" xfId="0" applyFont="1" applyBorder="1"/>
    <xf numFmtId="0" fontId="5" fillId="0" borderId="1" xfId="0" applyFont="1" applyBorder="1"/>
    <xf numFmtId="0" fontId="5" fillId="0" borderId="2" xfId="0" applyFont="1" applyBorder="1"/>
    <xf numFmtId="2" fontId="5" fillId="0" borderId="1" xfId="0" applyNumberFormat="1" applyFont="1" applyBorder="1"/>
    <xf numFmtId="2" fontId="5" fillId="0" borderId="0" xfId="0" applyNumberFormat="1" applyFont="1"/>
    <xf numFmtId="0" fontId="6" fillId="0" borderId="0" xfId="0" applyFont="1"/>
    <xf numFmtId="0" fontId="7" fillId="0" borderId="3" xfId="0" applyFont="1" applyBorder="1"/>
    <xf numFmtId="0" fontId="7" fillId="0" borderId="0" xfId="0" applyFont="1"/>
    <xf numFmtId="0" fontId="8" fillId="0" borderId="0" xfId="0" applyFont="1"/>
    <xf numFmtId="2" fontId="3" fillId="0" borderId="0" xfId="0" applyNumberFormat="1" applyFont="1"/>
    <xf numFmtId="0" fontId="4" fillId="2" borderId="0" xfId="0" applyFont="1" applyFill="1"/>
    <xf numFmtId="0" fontId="3" fillId="2" borderId="0" xfId="0" applyFont="1" applyFill="1"/>
    <xf numFmtId="0" fontId="3" fillId="2" borderId="3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4" fillId="3" borderId="0" xfId="0" applyFont="1" applyFill="1"/>
    <xf numFmtId="0" fontId="2" fillId="3" borderId="0" xfId="0" applyFont="1" applyFill="1"/>
    <xf numFmtId="0" fontId="5" fillId="4" borderId="3" xfId="0" applyFont="1" applyFill="1" applyBorder="1"/>
    <xf numFmtId="0" fontId="5" fillId="4" borderId="0" xfId="0" applyFont="1" applyFill="1"/>
    <xf numFmtId="0" fontId="3" fillId="4" borderId="0" xfId="0" applyFont="1" applyFill="1" applyAlignment="1">
      <alignment horizontal="center" wrapText="1"/>
    </xf>
    <xf numFmtId="2" fontId="5" fillId="4" borderId="0" xfId="0" applyNumberFormat="1" applyFont="1" applyFill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10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D936-D20A-4ACA-8F91-CF56C00B5868}">
  <dimension ref="A1:IX332"/>
  <sheetViews>
    <sheetView tabSelected="1" topLeftCell="A16" zoomScaleNormal="100" workbookViewId="0">
      <selection activeCell="AE42" sqref="AE42"/>
    </sheetView>
  </sheetViews>
  <sheetFormatPr defaultRowHeight="15" x14ac:dyDescent="0.2"/>
  <cols>
    <col min="1" max="1" width="8.42578125" style="1" bestFit="1" customWidth="1"/>
    <col min="2" max="2" width="41.140625" style="1" bestFit="1" customWidth="1"/>
    <col min="3" max="3" width="39.140625" style="1" customWidth="1"/>
    <col min="4" max="4" width="13.28515625" style="1" customWidth="1"/>
    <col min="5" max="5" width="11.28515625" style="1" customWidth="1"/>
    <col min="6" max="6" width="10.5703125" style="4" bestFit="1" customWidth="1"/>
    <col min="7" max="7" width="10.5703125" style="1" customWidth="1"/>
    <col min="8" max="8" width="9.28515625" style="1" bestFit="1" customWidth="1"/>
    <col min="9" max="9" width="10.42578125" style="5" customWidth="1"/>
    <col min="10" max="11" width="9.28515625" style="1" bestFit="1" customWidth="1"/>
    <col min="12" max="12" width="9.28515625" style="6" bestFit="1" customWidth="1"/>
    <col min="13" max="13" width="10.5703125" style="4" bestFit="1" customWidth="1"/>
    <col min="14" max="14" width="11.85546875" style="1" customWidth="1"/>
    <col min="15" max="15" width="11.28515625" style="5" customWidth="1"/>
    <col min="16" max="17" width="9.28515625" style="1" bestFit="1" customWidth="1"/>
    <col min="18" max="18" width="9.28515625" style="6" bestFit="1" customWidth="1"/>
    <col min="19" max="19" width="11" style="7" customWidth="1"/>
    <col min="20" max="20" width="10.42578125" style="1" customWidth="1"/>
    <col min="21" max="21" width="9.28515625" style="5" bestFit="1" customWidth="1"/>
    <col min="22" max="23" width="9.28515625" style="1" bestFit="1" customWidth="1"/>
    <col min="24" max="24" width="9.28515625" style="6" bestFit="1" customWidth="1"/>
    <col min="25" max="25" width="12.5703125" style="1" customWidth="1"/>
    <col min="26" max="26" width="12" style="1" customWidth="1"/>
    <col min="27" max="27" width="11.140625" style="1" customWidth="1"/>
    <col min="28" max="28" width="12.28515625" style="1" customWidth="1"/>
    <col min="29" max="29" width="14.140625" style="1" customWidth="1"/>
    <col min="30" max="30" width="14.5703125" style="1" bestFit="1" customWidth="1"/>
    <col min="31" max="31" width="9.28515625" style="1" bestFit="1" customWidth="1"/>
    <col min="32" max="32" width="9.140625" style="1"/>
    <col min="33" max="40" width="9.28515625" style="1" bestFit="1" customWidth="1"/>
    <col min="41" max="258" width="9.140625" style="1"/>
    <col min="259" max="259" width="5.5703125" style="1" bestFit="1" customWidth="1"/>
    <col min="260" max="260" width="34.140625" style="1" customWidth="1"/>
    <col min="261" max="261" width="35.5703125" style="1" customWidth="1"/>
    <col min="262" max="262" width="10.42578125" style="1" customWidth="1"/>
    <col min="263" max="263" width="9.140625" style="1"/>
    <col min="264" max="264" width="10.5703125" style="1" bestFit="1" customWidth="1"/>
    <col min="265" max="265" width="9.28515625" style="1" bestFit="1" customWidth="1"/>
    <col min="266" max="266" width="10.42578125" style="1" customWidth="1"/>
    <col min="267" max="269" width="9.28515625" style="1" bestFit="1" customWidth="1"/>
    <col min="270" max="270" width="10.5703125" style="1" bestFit="1" customWidth="1"/>
    <col min="271" max="271" width="10.42578125" style="1" customWidth="1"/>
    <col min="272" max="272" width="16.85546875" style="1" bestFit="1" customWidth="1"/>
    <col min="273" max="275" width="9.28515625" style="1" bestFit="1" customWidth="1"/>
    <col min="276" max="276" width="10.5703125" style="1" bestFit="1" customWidth="1"/>
    <col min="277" max="281" width="9.28515625" style="1" bestFit="1" customWidth="1"/>
    <col min="282" max="282" width="12.5703125" style="1" customWidth="1"/>
    <col min="283" max="283" width="12" style="1" customWidth="1"/>
    <col min="284" max="284" width="11.140625" style="1" customWidth="1"/>
    <col min="285" max="285" width="12.28515625" style="1" customWidth="1"/>
    <col min="286" max="286" width="14.5703125" style="1" bestFit="1" customWidth="1"/>
    <col min="287" max="287" width="9.28515625" style="1" bestFit="1" customWidth="1"/>
    <col min="288" max="288" width="9.140625" style="1"/>
    <col min="289" max="296" width="9.28515625" style="1" bestFit="1" customWidth="1"/>
    <col min="297" max="514" width="9.140625" style="1"/>
    <col min="515" max="515" width="5.5703125" style="1" bestFit="1" customWidth="1"/>
    <col min="516" max="516" width="34.140625" style="1" customWidth="1"/>
    <col min="517" max="517" width="35.5703125" style="1" customWidth="1"/>
    <col min="518" max="518" width="10.42578125" style="1" customWidth="1"/>
    <col min="519" max="519" width="9.140625" style="1"/>
    <col min="520" max="520" width="10.5703125" style="1" bestFit="1" customWidth="1"/>
    <col min="521" max="521" width="9.28515625" style="1" bestFit="1" customWidth="1"/>
    <col min="522" max="522" width="10.42578125" style="1" customWidth="1"/>
    <col min="523" max="525" width="9.28515625" style="1" bestFit="1" customWidth="1"/>
    <col min="526" max="526" width="10.5703125" style="1" bestFit="1" customWidth="1"/>
    <col min="527" max="527" width="10.42578125" style="1" customWidth="1"/>
    <col min="528" max="528" width="16.85546875" style="1" bestFit="1" customWidth="1"/>
    <col min="529" max="531" width="9.28515625" style="1" bestFit="1" customWidth="1"/>
    <col min="532" max="532" width="10.5703125" style="1" bestFit="1" customWidth="1"/>
    <col min="533" max="537" width="9.28515625" style="1" bestFit="1" customWidth="1"/>
    <col min="538" max="538" width="12.5703125" style="1" customWidth="1"/>
    <col min="539" max="539" width="12" style="1" customWidth="1"/>
    <col min="540" max="540" width="11.140625" style="1" customWidth="1"/>
    <col min="541" max="541" width="12.28515625" style="1" customWidth="1"/>
    <col min="542" max="542" width="14.5703125" style="1" bestFit="1" customWidth="1"/>
    <col min="543" max="543" width="9.28515625" style="1" bestFit="1" customWidth="1"/>
    <col min="544" max="544" width="9.140625" style="1"/>
    <col min="545" max="552" width="9.28515625" style="1" bestFit="1" customWidth="1"/>
    <col min="553" max="770" width="9.140625" style="1"/>
    <col min="771" max="771" width="5.5703125" style="1" bestFit="1" customWidth="1"/>
    <col min="772" max="772" width="34.140625" style="1" customWidth="1"/>
    <col min="773" max="773" width="35.5703125" style="1" customWidth="1"/>
    <col min="774" max="774" width="10.42578125" style="1" customWidth="1"/>
    <col min="775" max="775" width="9.140625" style="1"/>
    <col min="776" max="776" width="10.5703125" style="1" bestFit="1" customWidth="1"/>
    <col min="777" max="777" width="9.28515625" style="1" bestFit="1" customWidth="1"/>
    <col min="778" max="778" width="10.42578125" style="1" customWidth="1"/>
    <col min="779" max="781" width="9.28515625" style="1" bestFit="1" customWidth="1"/>
    <col min="782" max="782" width="10.5703125" style="1" bestFit="1" customWidth="1"/>
    <col min="783" max="783" width="10.42578125" style="1" customWidth="1"/>
    <col min="784" max="784" width="16.85546875" style="1" bestFit="1" customWidth="1"/>
    <col min="785" max="787" width="9.28515625" style="1" bestFit="1" customWidth="1"/>
    <col min="788" max="788" width="10.5703125" style="1" bestFit="1" customWidth="1"/>
    <col min="789" max="793" width="9.28515625" style="1" bestFit="1" customWidth="1"/>
    <col min="794" max="794" width="12.5703125" style="1" customWidth="1"/>
    <col min="795" max="795" width="12" style="1" customWidth="1"/>
    <col min="796" max="796" width="11.140625" style="1" customWidth="1"/>
    <col min="797" max="797" width="12.28515625" style="1" customWidth="1"/>
    <col min="798" max="798" width="14.5703125" style="1" bestFit="1" customWidth="1"/>
    <col min="799" max="799" width="9.28515625" style="1" bestFit="1" customWidth="1"/>
    <col min="800" max="800" width="9.140625" style="1"/>
    <col min="801" max="808" width="9.28515625" style="1" bestFit="1" customWidth="1"/>
    <col min="809" max="1026" width="9.140625" style="1"/>
    <col min="1027" max="1027" width="5.5703125" style="1" bestFit="1" customWidth="1"/>
    <col min="1028" max="1028" width="34.140625" style="1" customWidth="1"/>
    <col min="1029" max="1029" width="35.5703125" style="1" customWidth="1"/>
    <col min="1030" max="1030" width="10.42578125" style="1" customWidth="1"/>
    <col min="1031" max="1031" width="9.140625" style="1"/>
    <col min="1032" max="1032" width="10.5703125" style="1" bestFit="1" customWidth="1"/>
    <col min="1033" max="1033" width="9.28515625" style="1" bestFit="1" customWidth="1"/>
    <col min="1034" max="1034" width="10.42578125" style="1" customWidth="1"/>
    <col min="1035" max="1037" width="9.28515625" style="1" bestFit="1" customWidth="1"/>
    <col min="1038" max="1038" width="10.5703125" style="1" bestFit="1" customWidth="1"/>
    <col min="1039" max="1039" width="10.42578125" style="1" customWidth="1"/>
    <col min="1040" max="1040" width="16.85546875" style="1" bestFit="1" customWidth="1"/>
    <col min="1041" max="1043" width="9.28515625" style="1" bestFit="1" customWidth="1"/>
    <col min="1044" max="1044" width="10.5703125" style="1" bestFit="1" customWidth="1"/>
    <col min="1045" max="1049" width="9.28515625" style="1" bestFit="1" customWidth="1"/>
    <col min="1050" max="1050" width="12.5703125" style="1" customWidth="1"/>
    <col min="1051" max="1051" width="12" style="1" customWidth="1"/>
    <col min="1052" max="1052" width="11.140625" style="1" customWidth="1"/>
    <col min="1053" max="1053" width="12.28515625" style="1" customWidth="1"/>
    <col min="1054" max="1054" width="14.5703125" style="1" bestFit="1" customWidth="1"/>
    <col min="1055" max="1055" width="9.28515625" style="1" bestFit="1" customWidth="1"/>
    <col min="1056" max="1056" width="9.140625" style="1"/>
    <col min="1057" max="1064" width="9.28515625" style="1" bestFit="1" customWidth="1"/>
    <col min="1065" max="1282" width="9.140625" style="1"/>
    <col min="1283" max="1283" width="5.5703125" style="1" bestFit="1" customWidth="1"/>
    <col min="1284" max="1284" width="34.140625" style="1" customWidth="1"/>
    <col min="1285" max="1285" width="35.5703125" style="1" customWidth="1"/>
    <col min="1286" max="1286" width="10.42578125" style="1" customWidth="1"/>
    <col min="1287" max="1287" width="9.140625" style="1"/>
    <col min="1288" max="1288" width="10.5703125" style="1" bestFit="1" customWidth="1"/>
    <col min="1289" max="1289" width="9.28515625" style="1" bestFit="1" customWidth="1"/>
    <col min="1290" max="1290" width="10.42578125" style="1" customWidth="1"/>
    <col min="1291" max="1293" width="9.28515625" style="1" bestFit="1" customWidth="1"/>
    <col min="1294" max="1294" width="10.5703125" style="1" bestFit="1" customWidth="1"/>
    <col min="1295" max="1295" width="10.42578125" style="1" customWidth="1"/>
    <col min="1296" max="1296" width="16.85546875" style="1" bestFit="1" customWidth="1"/>
    <col min="1297" max="1299" width="9.28515625" style="1" bestFit="1" customWidth="1"/>
    <col min="1300" max="1300" width="10.5703125" style="1" bestFit="1" customWidth="1"/>
    <col min="1301" max="1305" width="9.28515625" style="1" bestFit="1" customWidth="1"/>
    <col min="1306" max="1306" width="12.5703125" style="1" customWidth="1"/>
    <col min="1307" max="1307" width="12" style="1" customWidth="1"/>
    <col min="1308" max="1308" width="11.140625" style="1" customWidth="1"/>
    <col min="1309" max="1309" width="12.28515625" style="1" customWidth="1"/>
    <col min="1310" max="1310" width="14.5703125" style="1" bestFit="1" customWidth="1"/>
    <col min="1311" max="1311" width="9.28515625" style="1" bestFit="1" customWidth="1"/>
    <col min="1312" max="1312" width="9.140625" style="1"/>
    <col min="1313" max="1320" width="9.28515625" style="1" bestFit="1" customWidth="1"/>
    <col min="1321" max="1538" width="9.140625" style="1"/>
    <col min="1539" max="1539" width="5.5703125" style="1" bestFit="1" customWidth="1"/>
    <col min="1540" max="1540" width="34.140625" style="1" customWidth="1"/>
    <col min="1541" max="1541" width="35.5703125" style="1" customWidth="1"/>
    <col min="1542" max="1542" width="10.42578125" style="1" customWidth="1"/>
    <col min="1543" max="1543" width="9.140625" style="1"/>
    <col min="1544" max="1544" width="10.5703125" style="1" bestFit="1" customWidth="1"/>
    <col min="1545" max="1545" width="9.28515625" style="1" bestFit="1" customWidth="1"/>
    <col min="1546" max="1546" width="10.42578125" style="1" customWidth="1"/>
    <col min="1547" max="1549" width="9.28515625" style="1" bestFit="1" customWidth="1"/>
    <col min="1550" max="1550" width="10.5703125" style="1" bestFit="1" customWidth="1"/>
    <col min="1551" max="1551" width="10.42578125" style="1" customWidth="1"/>
    <col min="1552" max="1552" width="16.85546875" style="1" bestFit="1" customWidth="1"/>
    <col min="1553" max="1555" width="9.28515625" style="1" bestFit="1" customWidth="1"/>
    <col min="1556" max="1556" width="10.5703125" style="1" bestFit="1" customWidth="1"/>
    <col min="1557" max="1561" width="9.28515625" style="1" bestFit="1" customWidth="1"/>
    <col min="1562" max="1562" width="12.5703125" style="1" customWidth="1"/>
    <col min="1563" max="1563" width="12" style="1" customWidth="1"/>
    <col min="1564" max="1564" width="11.140625" style="1" customWidth="1"/>
    <col min="1565" max="1565" width="12.28515625" style="1" customWidth="1"/>
    <col min="1566" max="1566" width="14.5703125" style="1" bestFit="1" customWidth="1"/>
    <col min="1567" max="1567" width="9.28515625" style="1" bestFit="1" customWidth="1"/>
    <col min="1568" max="1568" width="9.140625" style="1"/>
    <col min="1569" max="1576" width="9.28515625" style="1" bestFit="1" customWidth="1"/>
    <col min="1577" max="1794" width="9.140625" style="1"/>
    <col min="1795" max="1795" width="5.5703125" style="1" bestFit="1" customWidth="1"/>
    <col min="1796" max="1796" width="34.140625" style="1" customWidth="1"/>
    <col min="1797" max="1797" width="35.5703125" style="1" customWidth="1"/>
    <col min="1798" max="1798" width="10.42578125" style="1" customWidth="1"/>
    <col min="1799" max="1799" width="9.140625" style="1"/>
    <col min="1800" max="1800" width="10.5703125" style="1" bestFit="1" customWidth="1"/>
    <col min="1801" max="1801" width="9.28515625" style="1" bestFit="1" customWidth="1"/>
    <col min="1802" max="1802" width="10.42578125" style="1" customWidth="1"/>
    <col min="1803" max="1805" width="9.28515625" style="1" bestFit="1" customWidth="1"/>
    <col min="1806" max="1806" width="10.5703125" style="1" bestFit="1" customWidth="1"/>
    <col min="1807" max="1807" width="10.42578125" style="1" customWidth="1"/>
    <col min="1808" max="1808" width="16.85546875" style="1" bestFit="1" customWidth="1"/>
    <col min="1809" max="1811" width="9.28515625" style="1" bestFit="1" customWidth="1"/>
    <col min="1812" max="1812" width="10.5703125" style="1" bestFit="1" customWidth="1"/>
    <col min="1813" max="1817" width="9.28515625" style="1" bestFit="1" customWidth="1"/>
    <col min="1818" max="1818" width="12.5703125" style="1" customWidth="1"/>
    <col min="1819" max="1819" width="12" style="1" customWidth="1"/>
    <col min="1820" max="1820" width="11.140625" style="1" customWidth="1"/>
    <col min="1821" max="1821" width="12.28515625" style="1" customWidth="1"/>
    <col min="1822" max="1822" width="14.5703125" style="1" bestFit="1" customWidth="1"/>
    <col min="1823" max="1823" width="9.28515625" style="1" bestFit="1" customWidth="1"/>
    <col min="1824" max="1824" width="9.140625" style="1"/>
    <col min="1825" max="1832" width="9.28515625" style="1" bestFit="1" customWidth="1"/>
    <col min="1833" max="2050" width="9.140625" style="1"/>
    <col min="2051" max="2051" width="5.5703125" style="1" bestFit="1" customWidth="1"/>
    <col min="2052" max="2052" width="34.140625" style="1" customWidth="1"/>
    <col min="2053" max="2053" width="35.5703125" style="1" customWidth="1"/>
    <col min="2054" max="2054" width="10.42578125" style="1" customWidth="1"/>
    <col min="2055" max="2055" width="9.140625" style="1"/>
    <col min="2056" max="2056" width="10.5703125" style="1" bestFit="1" customWidth="1"/>
    <col min="2057" max="2057" width="9.28515625" style="1" bestFit="1" customWidth="1"/>
    <col min="2058" max="2058" width="10.42578125" style="1" customWidth="1"/>
    <col min="2059" max="2061" width="9.28515625" style="1" bestFit="1" customWidth="1"/>
    <col min="2062" max="2062" width="10.5703125" style="1" bestFit="1" customWidth="1"/>
    <col min="2063" max="2063" width="10.42578125" style="1" customWidth="1"/>
    <col min="2064" max="2064" width="16.85546875" style="1" bestFit="1" customWidth="1"/>
    <col min="2065" max="2067" width="9.28515625" style="1" bestFit="1" customWidth="1"/>
    <col min="2068" max="2068" width="10.5703125" style="1" bestFit="1" customWidth="1"/>
    <col min="2069" max="2073" width="9.28515625" style="1" bestFit="1" customWidth="1"/>
    <col min="2074" max="2074" width="12.5703125" style="1" customWidth="1"/>
    <col min="2075" max="2075" width="12" style="1" customWidth="1"/>
    <col min="2076" max="2076" width="11.140625" style="1" customWidth="1"/>
    <col min="2077" max="2077" width="12.28515625" style="1" customWidth="1"/>
    <col min="2078" max="2078" width="14.5703125" style="1" bestFit="1" customWidth="1"/>
    <col min="2079" max="2079" width="9.28515625" style="1" bestFit="1" customWidth="1"/>
    <col min="2080" max="2080" width="9.140625" style="1"/>
    <col min="2081" max="2088" width="9.28515625" style="1" bestFit="1" customWidth="1"/>
    <col min="2089" max="2306" width="9.140625" style="1"/>
    <col min="2307" max="2307" width="5.5703125" style="1" bestFit="1" customWidth="1"/>
    <col min="2308" max="2308" width="34.140625" style="1" customWidth="1"/>
    <col min="2309" max="2309" width="35.5703125" style="1" customWidth="1"/>
    <col min="2310" max="2310" width="10.42578125" style="1" customWidth="1"/>
    <col min="2311" max="2311" width="9.140625" style="1"/>
    <col min="2312" max="2312" width="10.5703125" style="1" bestFit="1" customWidth="1"/>
    <col min="2313" max="2313" width="9.28515625" style="1" bestFit="1" customWidth="1"/>
    <col min="2314" max="2314" width="10.42578125" style="1" customWidth="1"/>
    <col min="2315" max="2317" width="9.28515625" style="1" bestFit="1" customWidth="1"/>
    <col min="2318" max="2318" width="10.5703125" style="1" bestFit="1" customWidth="1"/>
    <col min="2319" max="2319" width="10.42578125" style="1" customWidth="1"/>
    <col min="2320" max="2320" width="16.85546875" style="1" bestFit="1" customWidth="1"/>
    <col min="2321" max="2323" width="9.28515625" style="1" bestFit="1" customWidth="1"/>
    <col min="2324" max="2324" width="10.5703125" style="1" bestFit="1" customWidth="1"/>
    <col min="2325" max="2329" width="9.28515625" style="1" bestFit="1" customWidth="1"/>
    <col min="2330" max="2330" width="12.5703125" style="1" customWidth="1"/>
    <col min="2331" max="2331" width="12" style="1" customWidth="1"/>
    <col min="2332" max="2332" width="11.140625" style="1" customWidth="1"/>
    <col min="2333" max="2333" width="12.28515625" style="1" customWidth="1"/>
    <col min="2334" max="2334" width="14.5703125" style="1" bestFit="1" customWidth="1"/>
    <col min="2335" max="2335" width="9.28515625" style="1" bestFit="1" customWidth="1"/>
    <col min="2336" max="2336" width="9.140625" style="1"/>
    <col min="2337" max="2344" width="9.28515625" style="1" bestFit="1" customWidth="1"/>
    <col min="2345" max="2562" width="9.140625" style="1"/>
    <col min="2563" max="2563" width="5.5703125" style="1" bestFit="1" customWidth="1"/>
    <col min="2564" max="2564" width="34.140625" style="1" customWidth="1"/>
    <col min="2565" max="2565" width="35.5703125" style="1" customWidth="1"/>
    <col min="2566" max="2566" width="10.42578125" style="1" customWidth="1"/>
    <col min="2567" max="2567" width="9.140625" style="1"/>
    <col min="2568" max="2568" width="10.5703125" style="1" bestFit="1" customWidth="1"/>
    <col min="2569" max="2569" width="9.28515625" style="1" bestFit="1" customWidth="1"/>
    <col min="2570" max="2570" width="10.42578125" style="1" customWidth="1"/>
    <col min="2571" max="2573" width="9.28515625" style="1" bestFit="1" customWidth="1"/>
    <col min="2574" max="2574" width="10.5703125" style="1" bestFit="1" customWidth="1"/>
    <col min="2575" max="2575" width="10.42578125" style="1" customWidth="1"/>
    <col min="2576" max="2576" width="16.85546875" style="1" bestFit="1" customWidth="1"/>
    <col min="2577" max="2579" width="9.28515625" style="1" bestFit="1" customWidth="1"/>
    <col min="2580" max="2580" width="10.5703125" style="1" bestFit="1" customWidth="1"/>
    <col min="2581" max="2585" width="9.28515625" style="1" bestFit="1" customWidth="1"/>
    <col min="2586" max="2586" width="12.5703125" style="1" customWidth="1"/>
    <col min="2587" max="2587" width="12" style="1" customWidth="1"/>
    <col min="2588" max="2588" width="11.140625" style="1" customWidth="1"/>
    <col min="2589" max="2589" width="12.28515625" style="1" customWidth="1"/>
    <col min="2590" max="2590" width="14.5703125" style="1" bestFit="1" customWidth="1"/>
    <col min="2591" max="2591" width="9.28515625" style="1" bestFit="1" customWidth="1"/>
    <col min="2592" max="2592" width="9.140625" style="1"/>
    <col min="2593" max="2600" width="9.28515625" style="1" bestFit="1" customWidth="1"/>
    <col min="2601" max="2818" width="9.140625" style="1"/>
    <col min="2819" max="2819" width="5.5703125" style="1" bestFit="1" customWidth="1"/>
    <col min="2820" max="2820" width="34.140625" style="1" customWidth="1"/>
    <col min="2821" max="2821" width="35.5703125" style="1" customWidth="1"/>
    <col min="2822" max="2822" width="10.42578125" style="1" customWidth="1"/>
    <col min="2823" max="2823" width="9.140625" style="1"/>
    <col min="2824" max="2824" width="10.5703125" style="1" bestFit="1" customWidth="1"/>
    <col min="2825" max="2825" width="9.28515625" style="1" bestFit="1" customWidth="1"/>
    <col min="2826" max="2826" width="10.42578125" style="1" customWidth="1"/>
    <col min="2827" max="2829" width="9.28515625" style="1" bestFit="1" customWidth="1"/>
    <col min="2830" max="2830" width="10.5703125" style="1" bestFit="1" customWidth="1"/>
    <col min="2831" max="2831" width="10.42578125" style="1" customWidth="1"/>
    <col min="2832" max="2832" width="16.85546875" style="1" bestFit="1" customWidth="1"/>
    <col min="2833" max="2835" width="9.28515625" style="1" bestFit="1" customWidth="1"/>
    <col min="2836" max="2836" width="10.5703125" style="1" bestFit="1" customWidth="1"/>
    <col min="2837" max="2841" width="9.28515625" style="1" bestFit="1" customWidth="1"/>
    <col min="2842" max="2842" width="12.5703125" style="1" customWidth="1"/>
    <col min="2843" max="2843" width="12" style="1" customWidth="1"/>
    <col min="2844" max="2844" width="11.140625" style="1" customWidth="1"/>
    <col min="2845" max="2845" width="12.28515625" style="1" customWidth="1"/>
    <col min="2846" max="2846" width="14.5703125" style="1" bestFit="1" customWidth="1"/>
    <col min="2847" max="2847" width="9.28515625" style="1" bestFit="1" customWidth="1"/>
    <col min="2848" max="2848" width="9.140625" style="1"/>
    <col min="2849" max="2856" width="9.28515625" style="1" bestFit="1" customWidth="1"/>
    <col min="2857" max="3074" width="9.140625" style="1"/>
    <col min="3075" max="3075" width="5.5703125" style="1" bestFit="1" customWidth="1"/>
    <col min="3076" max="3076" width="34.140625" style="1" customWidth="1"/>
    <col min="3077" max="3077" width="35.5703125" style="1" customWidth="1"/>
    <col min="3078" max="3078" width="10.42578125" style="1" customWidth="1"/>
    <col min="3079" max="3079" width="9.140625" style="1"/>
    <col min="3080" max="3080" width="10.5703125" style="1" bestFit="1" customWidth="1"/>
    <col min="3081" max="3081" width="9.28515625" style="1" bestFit="1" customWidth="1"/>
    <col min="3082" max="3082" width="10.42578125" style="1" customWidth="1"/>
    <col min="3083" max="3085" width="9.28515625" style="1" bestFit="1" customWidth="1"/>
    <col min="3086" max="3086" width="10.5703125" style="1" bestFit="1" customWidth="1"/>
    <col min="3087" max="3087" width="10.42578125" style="1" customWidth="1"/>
    <col min="3088" max="3088" width="16.85546875" style="1" bestFit="1" customWidth="1"/>
    <col min="3089" max="3091" width="9.28515625" style="1" bestFit="1" customWidth="1"/>
    <col min="3092" max="3092" width="10.5703125" style="1" bestFit="1" customWidth="1"/>
    <col min="3093" max="3097" width="9.28515625" style="1" bestFit="1" customWidth="1"/>
    <col min="3098" max="3098" width="12.5703125" style="1" customWidth="1"/>
    <col min="3099" max="3099" width="12" style="1" customWidth="1"/>
    <col min="3100" max="3100" width="11.140625" style="1" customWidth="1"/>
    <col min="3101" max="3101" width="12.28515625" style="1" customWidth="1"/>
    <col min="3102" max="3102" width="14.5703125" style="1" bestFit="1" customWidth="1"/>
    <col min="3103" max="3103" width="9.28515625" style="1" bestFit="1" customWidth="1"/>
    <col min="3104" max="3104" width="9.140625" style="1"/>
    <col min="3105" max="3112" width="9.28515625" style="1" bestFit="1" customWidth="1"/>
    <col min="3113" max="3330" width="9.140625" style="1"/>
    <col min="3331" max="3331" width="5.5703125" style="1" bestFit="1" customWidth="1"/>
    <col min="3332" max="3332" width="34.140625" style="1" customWidth="1"/>
    <col min="3333" max="3333" width="35.5703125" style="1" customWidth="1"/>
    <col min="3334" max="3334" width="10.42578125" style="1" customWidth="1"/>
    <col min="3335" max="3335" width="9.140625" style="1"/>
    <col min="3336" max="3336" width="10.5703125" style="1" bestFit="1" customWidth="1"/>
    <col min="3337" max="3337" width="9.28515625" style="1" bestFit="1" customWidth="1"/>
    <col min="3338" max="3338" width="10.42578125" style="1" customWidth="1"/>
    <col min="3339" max="3341" width="9.28515625" style="1" bestFit="1" customWidth="1"/>
    <col min="3342" max="3342" width="10.5703125" style="1" bestFit="1" customWidth="1"/>
    <col min="3343" max="3343" width="10.42578125" style="1" customWidth="1"/>
    <col min="3344" max="3344" width="16.85546875" style="1" bestFit="1" customWidth="1"/>
    <col min="3345" max="3347" width="9.28515625" style="1" bestFit="1" customWidth="1"/>
    <col min="3348" max="3348" width="10.5703125" style="1" bestFit="1" customWidth="1"/>
    <col min="3349" max="3353" width="9.28515625" style="1" bestFit="1" customWidth="1"/>
    <col min="3354" max="3354" width="12.5703125" style="1" customWidth="1"/>
    <col min="3355" max="3355" width="12" style="1" customWidth="1"/>
    <col min="3356" max="3356" width="11.140625" style="1" customWidth="1"/>
    <col min="3357" max="3357" width="12.28515625" style="1" customWidth="1"/>
    <col min="3358" max="3358" width="14.5703125" style="1" bestFit="1" customWidth="1"/>
    <col min="3359" max="3359" width="9.28515625" style="1" bestFit="1" customWidth="1"/>
    <col min="3360" max="3360" width="9.140625" style="1"/>
    <col min="3361" max="3368" width="9.28515625" style="1" bestFit="1" customWidth="1"/>
    <col min="3369" max="3586" width="9.140625" style="1"/>
    <col min="3587" max="3587" width="5.5703125" style="1" bestFit="1" customWidth="1"/>
    <col min="3588" max="3588" width="34.140625" style="1" customWidth="1"/>
    <col min="3589" max="3589" width="35.5703125" style="1" customWidth="1"/>
    <col min="3590" max="3590" width="10.42578125" style="1" customWidth="1"/>
    <col min="3591" max="3591" width="9.140625" style="1"/>
    <col min="3592" max="3592" width="10.5703125" style="1" bestFit="1" customWidth="1"/>
    <col min="3593" max="3593" width="9.28515625" style="1" bestFit="1" customWidth="1"/>
    <col min="3594" max="3594" width="10.42578125" style="1" customWidth="1"/>
    <col min="3595" max="3597" width="9.28515625" style="1" bestFit="1" customWidth="1"/>
    <col min="3598" max="3598" width="10.5703125" style="1" bestFit="1" customWidth="1"/>
    <col min="3599" max="3599" width="10.42578125" style="1" customWidth="1"/>
    <col min="3600" max="3600" width="16.85546875" style="1" bestFit="1" customWidth="1"/>
    <col min="3601" max="3603" width="9.28515625" style="1" bestFit="1" customWidth="1"/>
    <col min="3604" max="3604" width="10.5703125" style="1" bestFit="1" customWidth="1"/>
    <col min="3605" max="3609" width="9.28515625" style="1" bestFit="1" customWidth="1"/>
    <col min="3610" max="3610" width="12.5703125" style="1" customWidth="1"/>
    <col min="3611" max="3611" width="12" style="1" customWidth="1"/>
    <col min="3612" max="3612" width="11.140625" style="1" customWidth="1"/>
    <col min="3613" max="3613" width="12.28515625" style="1" customWidth="1"/>
    <col min="3614" max="3614" width="14.5703125" style="1" bestFit="1" customWidth="1"/>
    <col min="3615" max="3615" width="9.28515625" style="1" bestFit="1" customWidth="1"/>
    <col min="3616" max="3616" width="9.140625" style="1"/>
    <col min="3617" max="3624" width="9.28515625" style="1" bestFit="1" customWidth="1"/>
    <col min="3625" max="3842" width="9.140625" style="1"/>
    <col min="3843" max="3843" width="5.5703125" style="1" bestFit="1" customWidth="1"/>
    <col min="3844" max="3844" width="34.140625" style="1" customWidth="1"/>
    <col min="3845" max="3845" width="35.5703125" style="1" customWidth="1"/>
    <col min="3846" max="3846" width="10.42578125" style="1" customWidth="1"/>
    <col min="3847" max="3847" width="9.140625" style="1"/>
    <col min="3848" max="3848" width="10.5703125" style="1" bestFit="1" customWidth="1"/>
    <col min="3849" max="3849" width="9.28515625" style="1" bestFit="1" customWidth="1"/>
    <col min="3850" max="3850" width="10.42578125" style="1" customWidth="1"/>
    <col min="3851" max="3853" width="9.28515625" style="1" bestFit="1" customWidth="1"/>
    <col min="3854" max="3854" width="10.5703125" style="1" bestFit="1" customWidth="1"/>
    <col min="3855" max="3855" width="10.42578125" style="1" customWidth="1"/>
    <col min="3856" max="3856" width="16.85546875" style="1" bestFit="1" customWidth="1"/>
    <col min="3857" max="3859" width="9.28515625" style="1" bestFit="1" customWidth="1"/>
    <col min="3860" max="3860" width="10.5703125" style="1" bestFit="1" customWidth="1"/>
    <col min="3861" max="3865" width="9.28515625" style="1" bestFit="1" customWidth="1"/>
    <col min="3866" max="3866" width="12.5703125" style="1" customWidth="1"/>
    <col min="3867" max="3867" width="12" style="1" customWidth="1"/>
    <col min="3868" max="3868" width="11.140625" style="1" customWidth="1"/>
    <col min="3869" max="3869" width="12.28515625" style="1" customWidth="1"/>
    <col min="3870" max="3870" width="14.5703125" style="1" bestFit="1" customWidth="1"/>
    <col min="3871" max="3871" width="9.28515625" style="1" bestFit="1" customWidth="1"/>
    <col min="3872" max="3872" width="9.140625" style="1"/>
    <col min="3873" max="3880" width="9.28515625" style="1" bestFit="1" customWidth="1"/>
    <col min="3881" max="4098" width="9.140625" style="1"/>
    <col min="4099" max="4099" width="5.5703125" style="1" bestFit="1" customWidth="1"/>
    <col min="4100" max="4100" width="34.140625" style="1" customWidth="1"/>
    <col min="4101" max="4101" width="35.5703125" style="1" customWidth="1"/>
    <col min="4102" max="4102" width="10.42578125" style="1" customWidth="1"/>
    <col min="4103" max="4103" width="9.140625" style="1"/>
    <col min="4104" max="4104" width="10.5703125" style="1" bestFit="1" customWidth="1"/>
    <col min="4105" max="4105" width="9.28515625" style="1" bestFit="1" customWidth="1"/>
    <col min="4106" max="4106" width="10.42578125" style="1" customWidth="1"/>
    <col min="4107" max="4109" width="9.28515625" style="1" bestFit="1" customWidth="1"/>
    <col min="4110" max="4110" width="10.5703125" style="1" bestFit="1" customWidth="1"/>
    <col min="4111" max="4111" width="10.42578125" style="1" customWidth="1"/>
    <col min="4112" max="4112" width="16.85546875" style="1" bestFit="1" customWidth="1"/>
    <col min="4113" max="4115" width="9.28515625" style="1" bestFit="1" customWidth="1"/>
    <col min="4116" max="4116" width="10.5703125" style="1" bestFit="1" customWidth="1"/>
    <col min="4117" max="4121" width="9.28515625" style="1" bestFit="1" customWidth="1"/>
    <col min="4122" max="4122" width="12.5703125" style="1" customWidth="1"/>
    <col min="4123" max="4123" width="12" style="1" customWidth="1"/>
    <col min="4124" max="4124" width="11.140625" style="1" customWidth="1"/>
    <col min="4125" max="4125" width="12.28515625" style="1" customWidth="1"/>
    <col min="4126" max="4126" width="14.5703125" style="1" bestFit="1" customWidth="1"/>
    <col min="4127" max="4127" width="9.28515625" style="1" bestFit="1" customWidth="1"/>
    <col min="4128" max="4128" width="9.140625" style="1"/>
    <col min="4129" max="4136" width="9.28515625" style="1" bestFit="1" customWidth="1"/>
    <col min="4137" max="4354" width="9.140625" style="1"/>
    <col min="4355" max="4355" width="5.5703125" style="1" bestFit="1" customWidth="1"/>
    <col min="4356" max="4356" width="34.140625" style="1" customWidth="1"/>
    <col min="4357" max="4357" width="35.5703125" style="1" customWidth="1"/>
    <col min="4358" max="4358" width="10.42578125" style="1" customWidth="1"/>
    <col min="4359" max="4359" width="9.140625" style="1"/>
    <col min="4360" max="4360" width="10.5703125" style="1" bestFit="1" customWidth="1"/>
    <col min="4361" max="4361" width="9.28515625" style="1" bestFit="1" customWidth="1"/>
    <col min="4362" max="4362" width="10.42578125" style="1" customWidth="1"/>
    <col min="4363" max="4365" width="9.28515625" style="1" bestFit="1" customWidth="1"/>
    <col min="4366" max="4366" width="10.5703125" style="1" bestFit="1" customWidth="1"/>
    <col min="4367" max="4367" width="10.42578125" style="1" customWidth="1"/>
    <col min="4368" max="4368" width="16.85546875" style="1" bestFit="1" customWidth="1"/>
    <col min="4369" max="4371" width="9.28515625" style="1" bestFit="1" customWidth="1"/>
    <col min="4372" max="4372" width="10.5703125" style="1" bestFit="1" customWidth="1"/>
    <col min="4373" max="4377" width="9.28515625" style="1" bestFit="1" customWidth="1"/>
    <col min="4378" max="4378" width="12.5703125" style="1" customWidth="1"/>
    <col min="4379" max="4379" width="12" style="1" customWidth="1"/>
    <col min="4380" max="4380" width="11.140625" style="1" customWidth="1"/>
    <col min="4381" max="4381" width="12.28515625" style="1" customWidth="1"/>
    <col min="4382" max="4382" width="14.5703125" style="1" bestFit="1" customWidth="1"/>
    <col min="4383" max="4383" width="9.28515625" style="1" bestFit="1" customWidth="1"/>
    <col min="4384" max="4384" width="9.140625" style="1"/>
    <col min="4385" max="4392" width="9.28515625" style="1" bestFit="1" customWidth="1"/>
    <col min="4393" max="4610" width="9.140625" style="1"/>
    <col min="4611" max="4611" width="5.5703125" style="1" bestFit="1" customWidth="1"/>
    <col min="4612" max="4612" width="34.140625" style="1" customWidth="1"/>
    <col min="4613" max="4613" width="35.5703125" style="1" customWidth="1"/>
    <col min="4614" max="4614" width="10.42578125" style="1" customWidth="1"/>
    <col min="4615" max="4615" width="9.140625" style="1"/>
    <col min="4616" max="4616" width="10.5703125" style="1" bestFit="1" customWidth="1"/>
    <col min="4617" max="4617" width="9.28515625" style="1" bestFit="1" customWidth="1"/>
    <col min="4618" max="4618" width="10.42578125" style="1" customWidth="1"/>
    <col min="4619" max="4621" width="9.28515625" style="1" bestFit="1" customWidth="1"/>
    <col min="4622" max="4622" width="10.5703125" style="1" bestFit="1" customWidth="1"/>
    <col min="4623" max="4623" width="10.42578125" style="1" customWidth="1"/>
    <col min="4624" max="4624" width="16.85546875" style="1" bestFit="1" customWidth="1"/>
    <col min="4625" max="4627" width="9.28515625" style="1" bestFit="1" customWidth="1"/>
    <col min="4628" max="4628" width="10.5703125" style="1" bestFit="1" customWidth="1"/>
    <col min="4629" max="4633" width="9.28515625" style="1" bestFit="1" customWidth="1"/>
    <col min="4634" max="4634" width="12.5703125" style="1" customWidth="1"/>
    <col min="4635" max="4635" width="12" style="1" customWidth="1"/>
    <col min="4636" max="4636" width="11.140625" style="1" customWidth="1"/>
    <col min="4637" max="4637" width="12.28515625" style="1" customWidth="1"/>
    <col min="4638" max="4638" width="14.5703125" style="1" bestFit="1" customWidth="1"/>
    <col min="4639" max="4639" width="9.28515625" style="1" bestFit="1" customWidth="1"/>
    <col min="4640" max="4640" width="9.140625" style="1"/>
    <col min="4641" max="4648" width="9.28515625" style="1" bestFit="1" customWidth="1"/>
    <col min="4649" max="4866" width="9.140625" style="1"/>
    <col min="4867" max="4867" width="5.5703125" style="1" bestFit="1" customWidth="1"/>
    <col min="4868" max="4868" width="34.140625" style="1" customWidth="1"/>
    <col min="4869" max="4869" width="35.5703125" style="1" customWidth="1"/>
    <col min="4870" max="4870" width="10.42578125" style="1" customWidth="1"/>
    <col min="4871" max="4871" width="9.140625" style="1"/>
    <col min="4872" max="4872" width="10.5703125" style="1" bestFit="1" customWidth="1"/>
    <col min="4873" max="4873" width="9.28515625" style="1" bestFit="1" customWidth="1"/>
    <col min="4874" max="4874" width="10.42578125" style="1" customWidth="1"/>
    <col min="4875" max="4877" width="9.28515625" style="1" bestFit="1" customWidth="1"/>
    <col min="4878" max="4878" width="10.5703125" style="1" bestFit="1" customWidth="1"/>
    <col min="4879" max="4879" width="10.42578125" style="1" customWidth="1"/>
    <col min="4880" max="4880" width="16.85546875" style="1" bestFit="1" customWidth="1"/>
    <col min="4881" max="4883" width="9.28515625" style="1" bestFit="1" customWidth="1"/>
    <col min="4884" max="4884" width="10.5703125" style="1" bestFit="1" customWidth="1"/>
    <col min="4885" max="4889" width="9.28515625" style="1" bestFit="1" customWidth="1"/>
    <col min="4890" max="4890" width="12.5703125" style="1" customWidth="1"/>
    <col min="4891" max="4891" width="12" style="1" customWidth="1"/>
    <col min="4892" max="4892" width="11.140625" style="1" customWidth="1"/>
    <col min="4893" max="4893" width="12.28515625" style="1" customWidth="1"/>
    <col min="4894" max="4894" width="14.5703125" style="1" bestFit="1" customWidth="1"/>
    <col min="4895" max="4895" width="9.28515625" style="1" bestFit="1" customWidth="1"/>
    <col min="4896" max="4896" width="9.140625" style="1"/>
    <col min="4897" max="4904" width="9.28515625" style="1" bestFit="1" customWidth="1"/>
    <col min="4905" max="5122" width="9.140625" style="1"/>
    <col min="5123" max="5123" width="5.5703125" style="1" bestFit="1" customWidth="1"/>
    <col min="5124" max="5124" width="34.140625" style="1" customWidth="1"/>
    <col min="5125" max="5125" width="35.5703125" style="1" customWidth="1"/>
    <col min="5126" max="5126" width="10.42578125" style="1" customWidth="1"/>
    <col min="5127" max="5127" width="9.140625" style="1"/>
    <col min="5128" max="5128" width="10.5703125" style="1" bestFit="1" customWidth="1"/>
    <col min="5129" max="5129" width="9.28515625" style="1" bestFit="1" customWidth="1"/>
    <col min="5130" max="5130" width="10.42578125" style="1" customWidth="1"/>
    <col min="5131" max="5133" width="9.28515625" style="1" bestFit="1" customWidth="1"/>
    <col min="5134" max="5134" width="10.5703125" style="1" bestFit="1" customWidth="1"/>
    <col min="5135" max="5135" width="10.42578125" style="1" customWidth="1"/>
    <col min="5136" max="5136" width="16.85546875" style="1" bestFit="1" customWidth="1"/>
    <col min="5137" max="5139" width="9.28515625" style="1" bestFit="1" customWidth="1"/>
    <col min="5140" max="5140" width="10.5703125" style="1" bestFit="1" customWidth="1"/>
    <col min="5141" max="5145" width="9.28515625" style="1" bestFit="1" customWidth="1"/>
    <col min="5146" max="5146" width="12.5703125" style="1" customWidth="1"/>
    <col min="5147" max="5147" width="12" style="1" customWidth="1"/>
    <col min="5148" max="5148" width="11.140625" style="1" customWidth="1"/>
    <col min="5149" max="5149" width="12.28515625" style="1" customWidth="1"/>
    <col min="5150" max="5150" width="14.5703125" style="1" bestFit="1" customWidth="1"/>
    <col min="5151" max="5151" width="9.28515625" style="1" bestFit="1" customWidth="1"/>
    <col min="5152" max="5152" width="9.140625" style="1"/>
    <col min="5153" max="5160" width="9.28515625" style="1" bestFit="1" customWidth="1"/>
    <col min="5161" max="5378" width="9.140625" style="1"/>
    <col min="5379" max="5379" width="5.5703125" style="1" bestFit="1" customWidth="1"/>
    <col min="5380" max="5380" width="34.140625" style="1" customWidth="1"/>
    <col min="5381" max="5381" width="35.5703125" style="1" customWidth="1"/>
    <col min="5382" max="5382" width="10.42578125" style="1" customWidth="1"/>
    <col min="5383" max="5383" width="9.140625" style="1"/>
    <col min="5384" max="5384" width="10.5703125" style="1" bestFit="1" customWidth="1"/>
    <col min="5385" max="5385" width="9.28515625" style="1" bestFit="1" customWidth="1"/>
    <col min="5386" max="5386" width="10.42578125" style="1" customWidth="1"/>
    <col min="5387" max="5389" width="9.28515625" style="1" bestFit="1" customWidth="1"/>
    <col min="5390" max="5390" width="10.5703125" style="1" bestFit="1" customWidth="1"/>
    <col min="5391" max="5391" width="10.42578125" style="1" customWidth="1"/>
    <col min="5392" max="5392" width="16.85546875" style="1" bestFit="1" customWidth="1"/>
    <col min="5393" max="5395" width="9.28515625" style="1" bestFit="1" customWidth="1"/>
    <col min="5396" max="5396" width="10.5703125" style="1" bestFit="1" customWidth="1"/>
    <col min="5397" max="5401" width="9.28515625" style="1" bestFit="1" customWidth="1"/>
    <col min="5402" max="5402" width="12.5703125" style="1" customWidth="1"/>
    <col min="5403" max="5403" width="12" style="1" customWidth="1"/>
    <col min="5404" max="5404" width="11.140625" style="1" customWidth="1"/>
    <col min="5405" max="5405" width="12.28515625" style="1" customWidth="1"/>
    <col min="5406" max="5406" width="14.5703125" style="1" bestFit="1" customWidth="1"/>
    <col min="5407" max="5407" width="9.28515625" style="1" bestFit="1" customWidth="1"/>
    <col min="5408" max="5408" width="9.140625" style="1"/>
    <col min="5409" max="5416" width="9.28515625" style="1" bestFit="1" customWidth="1"/>
    <col min="5417" max="5634" width="9.140625" style="1"/>
    <col min="5635" max="5635" width="5.5703125" style="1" bestFit="1" customWidth="1"/>
    <col min="5636" max="5636" width="34.140625" style="1" customWidth="1"/>
    <col min="5637" max="5637" width="35.5703125" style="1" customWidth="1"/>
    <col min="5638" max="5638" width="10.42578125" style="1" customWidth="1"/>
    <col min="5639" max="5639" width="9.140625" style="1"/>
    <col min="5640" max="5640" width="10.5703125" style="1" bestFit="1" customWidth="1"/>
    <col min="5641" max="5641" width="9.28515625" style="1" bestFit="1" customWidth="1"/>
    <col min="5642" max="5642" width="10.42578125" style="1" customWidth="1"/>
    <col min="5643" max="5645" width="9.28515625" style="1" bestFit="1" customWidth="1"/>
    <col min="5646" max="5646" width="10.5703125" style="1" bestFit="1" customWidth="1"/>
    <col min="5647" max="5647" width="10.42578125" style="1" customWidth="1"/>
    <col min="5648" max="5648" width="16.85546875" style="1" bestFit="1" customWidth="1"/>
    <col min="5649" max="5651" width="9.28515625" style="1" bestFit="1" customWidth="1"/>
    <col min="5652" max="5652" width="10.5703125" style="1" bestFit="1" customWidth="1"/>
    <col min="5653" max="5657" width="9.28515625" style="1" bestFit="1" customWidth="1"/>
    <col min="5658" max="5658" width="12.5703125" style="1" customWidth="1"/>
    <col min="5659" max="5659" width="12" style="1" customWidth="1"/>
    <col min="5660" max="5660" width="11.140625" style="1" customWidth="1"/>
    <col min="5661" max="5661" width="12.28515625" style="1" customWidth="1"/>
    <col min="5662" max="5662" width="14.5703125" style="1" bestFit="1" customWidth="1"/>
    <col min="5663" max="5663" width="9.28515625" style="1" bestFit="1" customWidth="1"/>
    <col min="5664" max="5664" width="9.140625" style="1"/>
    <col min="5665" max="5672" width="9.28515625" style="1" bestFit="1" customWidth="1"/>
    <col min="5673" max="5890" width="9.140625" style="1"/>
    <col min="5891" max="5891" width="5.5703125" style="1" bestFit="1" customWidth="1"/>
    <col min="5892" max="5892" width="34.140625" style="1" customWidth="1"/>
    <col min="5893" max="5893" width="35.5703125" style="1" customWidth="1"/>
    <col min="5894" max="5894" width="10.42578125" style="1" customWidth="1"/>
    <col min="5895" max="5895" width="9.140625" style="1"/>
    <col min="5896" max="5896" width="10.5703125" style="1" bestFit="1" customWidth="1"/>
    <col min="5897" max="5897" width="9.28515625" style="1" bestFit="1" customWidth="1"/>
    <col min="5898" max="5898" width="10.42578125" style="1" customWidth="1"/>
    <col min="5899" max="5901" width="9.28515625" style="1" bestFit="1" customWidth="1"/>
    <col min="5902" max="5902" width="10.5703125" style="1" bestFit="1" customWidth="1"/>
    <col min="5903" max="5903" width="10.42578125" style="1" customWidth="1"/>
    <col min="5904" max="5904" width="16.85546875" style="1" bestFit="1" customWidth="1"/>
    <col min="5905" max="5907" width="9.28515625" style="1" bestFit="1" customWidth="1"/>
    <col min="5908" max="5908" width="10.5703125" style="1" bestFit="1" customWidth="1"/>
    <col min="5909" max="5913" width="9.28515625" style="1" bestFit="1" customWidth="1"/>
    <col min="5914" max="5914" width="12.5703125" style="1" customWidth="1"/>
    <col min="5915" max="5915" width="12" style="1" customWidth="1"/>
    <col min="5916" max="5916" width="11.140625" style="1" customWidth="1"/>
    <col min="5917" max="5917" width="12.28515625" style="1" customWidth="1"/>
    <col min="5918" max="5918" width="14.5703125" style="1" bestFit="1" customWidth="1"/>
    <col min="5919" max="5919" width="9.28515625" style="1" bestFit="1" customWidth="1"/>
    <col min="5920" max="5920" width="9.140625" style="1"/>
    <col min="5921" max="5928" width="9.28515625" style="1" bestFit="1" customWidth="1"/>
    <col min="5929" max="6146" width="9.140625" style="1"/>
    <col min="6147" max="6147" width="5.5703125" style="1" bestFit="1" customWidth="1"/>
    <col min="6148" max="6148" width="34.140625" style="1" customWidth="1"/>
    <col min="6149" max="6149" width="35.5703125" style="1" customWidth="1"/>
    <col min="6150" max="6150" width="10.42578125" style="1" customWidth="1"/>
    <col min="6151" max="6151" width="9.140625" style="1"/>
    <col min="6152" max="6152" width="10.5703125" style="1" bestFit="1" customWidth="1"/>
    <col min="6153" max="6153" width="9.28515625" style="1" bestFit="1" customWidth="1"/>
    <col min="6154" max="6154" width="10.42578125" style="1" customWidth="1"/>
    <col min="6155" max="6157" width="9.28515625" style="1" bestFit="1" customWidth="1"/>
    <col min="6158" max="6158" width="10.5703125" style="1" bestFit="1" customWidth="1"/>
    <col min="6159" max="6159" width="10.42578125" style="1" customWidth="1"/>
    <col min="6160" max="6160" width="16.85546875" style="1" bestFit="1" customWidth="1"/>
    <col min="6161" max="6163" width="9.28515625" style="1" bestFit="1" customWidth="1"/>
    <col min="6164" max="6164" width="10.5703125" style="1" bestFit="1" customWidth="1"/>
    <col min="6165" max="6169" width="9.28515625" style="1" bestFit="1" customWidth="1"/>
    <col min="6170" max="6170" width="12.5703125" style="1" customWidth="1"/>
    <col min="6171" max="6171" width="12" style="1" customWidth="1"/>
    <col min="6172" max="6172" width="11.140625" style="1" customWidth="1"/>
    <col min="6173" max="6173" width="12.28515625" style="1" customWidth="1"/>
    <col min="6174" max="6174" width="14.5703125" style="1" bestFit="1" customWidth="1"/>
    <col min="6175" max="6175" width="9.28515625" style="1" bestFit="1" customWidth="1"/>
    <col min="6176" max="6176" width="9.140625" style="1"/>
    <col min="6177" max="6184" width="9.28515625" style="1" bestFit="1" customWidth="1"/>
    <col min="6185" max="6402" width="9.140625" style="1"/>
    <col min="6403" max="6403" width="5.5703125" style="1" bestFit="1" customWidth="1"/>
    <col min="6404" max="6404" width="34.140625" style="1" customWidth="1"/>
    <col min="6405" max="6405" width="35.5703125" style="1" customWidth="1"/>
    <col min="6406" max="6406" width="10.42578125" style="1" customWidth="1"/>
    <col min="6407" max="6407" width="9.140625" style="1"/>
    <col min="6408" max="6408" width="10.5703125" style="1" bestFit="1" customWidth="1"/>
    <col min="6409" max="6409" width="9.28515625" style="1" bestFit="1" customWidth="1"/>
    <col min="6410" max="6410" width="10.42578125" style="1" customWidth="1"/>
    <col min="6411" max="6413" width="9.28515625" style="1" bestFit="1" customWidth="1"/>
    <col min="6414" max="6414" width="10.5703125" style="1" bestFit="1" customWidth="1"/>
    <col min="6415" max="6415" width="10.42578125" style="1" customWidth="1"/>
    <col min="6416" max="6416" width="16.85546875" style="1" bestFit="1" customWidth="1"/>
    <col min="6417" max="6419" width="9.28515625" style="1" bestFit="1" customWidth="1"/>
    <col min="6420" max="6420" width="10.5703125" style="1" bestFit="1" customWidth="1"/>
    <col min="6421" max="6425" width="9.28515625" style="1" bestFit="1" customWidth="1"/>
    <col min="6426" max="6426" width="12.5703125" style="1" customWidth="1"/>
    <col min="6427" max="6427" width="12" style="1" customWidth="1"/>
    <col min="6428" max="6428" width="11.140625" style="1" customWidth="1"/>
    <col min="6429" max="6429" width="12.28515625" style="1" customWidth="1"/>
    <col min="6430" max="6430" width="14.5703125" style="1" bestFit="1" customWidth="1"/>
    <col min="6431" max="6431" width="9.28515625" style="1" bestFit="1" customWidth="1"/>
    <col min="6432" max="6432" width="9.140625" style="1"/>
    <col min="6433" max="6440" width="9.28515625" style="1" bestFit="1" customWidth="1"/>
    <col min="6441" max="6658" width="9.140625" style="1"/>
    <col min="6659" max="6659" width="5.5703125" style="1" bestFit="1" customWidth="1"/>
    <col min="6660" max="6660" width="34.140625" style="1" customWidth="1"/>
    <col min="6661" max="6661" width="35.5703125" style="1" customWidth="1"/>
    <col min="6662" max="6662" width="10.42578125" style="1" customWidth="1"/>
    <col min="6663" max="6663" width="9.140625" style="1"/>
    <col min="6664" max="6664" width="10.5703125" style="1" bestFit="1" customWidth="1"/>
    <col min="6665" max="6665" width="9.28515625" style="1" bestFit="1" customWidth="1"/>
    <col min="6666" max="6666" width="10.42578125" style="1" customWidth="1"/>
    <col min="6667" max="6669" width="9.28515625" style="1" bestFit="1" customWidth="1"/>
    <col min="6670" max="6670" width="10.5703125" style="1" bestFit="1" customWidth="1"/>
    <col min="6671" max="6671" width="10.42578125" style="1" customWidth="1"/>
    <col min="6672" max="6672" width="16.85546875" style="1" bestFit="1" customWidth="1"/>
    <col min="6673" max="6675" width="9.28515625" style="1" bestFit="1" customWidth="1"/>
    <col min="6676" max="6676" width="10.5703125" style="1" bestFit="1" customWidth="1"/>
    <col min="6677" max="6681" width="9.28515625" style="1" bestFit="1" customWidth="1"/>
    <col min="6682" max="6682" width="12.5703125" style="1" customWidth="1"/>
    <col min="6683" max="6683" width="12" style="1" customWidth="1"/>
    <col min="6684" max="6684" width="11.140625" style="1" customWidth="1"/>
    <col min="6685" max="6685" width="12.28515625" style="1" customWidth="1"/>
    <col min="6686" max="6686" width="14.5703125" style="1" bestFit="1" customWidth="1"/>
    <col min="6687" max="6687" width="9.28515625" style="1" bestFit="1" customWidth="1"/>
    <col min="6688" max="6688" width="9.140625" style="1"/>
    <col min="6689" max="6696" width="9.28515625" style="1" bestFit="1" customWidth="1"/>
    <col min="6697" max="6914" width="9.140625" style="1"/>
    <col min="6915" max="6915" width="5.5703125" style="1" bestFit="1" customWidth="1"/>
    <col min="6916" max="6916" width="34.140625" style="1" customWidth="1"/>
    <col min="6917" max="6917" width="35.5703125" style="1" customWidth="1"/>
    <col min="6918" max="6918" width="10.42578125" style="1" customWidth="1"/>
    <col min="6919" max="6919" width="9.140625" style="1"/>
    <col min="6920" max="6920" width="10.5703125" style="1" bestFit="1" customWidth="1"/>
    <col min="6921" max="6921" width="9.28515625" style="1" bestFit="1" customWidth="1"/>
    <col min="6922" max="6922" width="10.42578125" style="1" customWidth="1"/>
    <col min="6923" max="6925" width="9.28515625" style="1" bestFit="1" customWidth="1"/>
    <col min="6926" max="6926" width="10.5703125" style="1" bestFit="1" customWidth="1"/>
    <col min="6927" max="6927" width="10.42578125" style="1" customWidth="1"/>
    <col min="6928" max="6928" width="16.85546875" style="1" bestFit="1" customWidth="1"/>
    <col min="6929" max="6931" width="9.28515625" style="1" bestFit="1" customWidth="1"/>
    <col min="6932" max="6932" width="10.5703125" style="1" bestFit="1" customWidth="1"/>
    <col min="6933" max="6937" width="9.28515625" style="1" bestFit="1" customWidth="1"/>
    <col min="6938" max="6938" width="12.5703125" style="1" customWidth="1"/>
    <col min="6939" max="6939" width="12" style="1" customWidth="1"/>
    <col min="6940" max="6940" width="11.140625" style="1" customWidth="1"/>
    <col min="6941" max="6941" width="12.28515625" style="1" customWidth="1"/>
    <col min="6942" max="6942" width="14.5703125" style="1" bestFit="1" customWidth="1"/>
    <col min="6943" max="6943" width="9.28515625" style="1" bestFit="1" customWidth="1"/>
    <col min="6944" max="6944" width="9.140625" style="1"/>
    <col min="6945" max="6952" width="9.28515625" style="1" bestFit="1" customWidth="1"/>
    <col min="6953" max="7170" width="9.140625" style="1"/>
    <col min="7171" max="7171" width="5.5703125" style="1" bestFit="1" customWidth="1"/>
    <col min="7172" max="7172" width="34.140625" style="1" customWidth="1"/>
    <col min="7173" max="7173" width="35.5703125" style="1" customWidth="1"/>
    <col min="7174" max="7174" width="10.42578125" style="1" customWidth="1"/>
    <col min="7175" max="7175" width="9.140625" style="1"/>
    <col min="7176" max="7176" width="10.5703125" style="1" bestFit="1" customWidth="1"/>
    <col min="7177" max="7177" width="9.28515625" style="1" bestFit="1" customWidth="1"/>
    <col min="7178" max="7178" width="10.42578125" style="1" customWidth="1"/>
    <col min="7179" max="7181" width="9.28515625" style="1" bestFit="1" customWidth="1"/>
    <col min="7182" max="7182" width="10.5703125" style="1" bestFit="1" customWidth="1"/>
    <col min="7183" max="7183" width="10.42578125" style="1" customWidth="1"/>
    <col min="7184" max="7184" width="16.85546875" style="1" bestFit="1" customWidth="1"/>
    <col min="7185" max="7187" width="9.28515625" style="1" bestFit="1" customWidth="1"/>
    <col min="7188" max="7188" width="10.5703125" style="1" bestFit="1" customWidth="1"/>
    <col min="7189" max="7193" width="9.28515625" style="1" bestFit="1" customWidth="1"/>
    <col min="7194" max="7194" width="12.5703125" style="1" customWidth="1"/>
    <col min="7195" max="7195" width="12" style="1" customWidth="1"/>
    <col min="7196" max="7196" width="11.140625" style="1" customWidth="1"/>
    <col min="7197" max="7197" width="12.28515625" style="1" customWidth="1"/>
    <col min="7198" max="7198" width="14.5703125" style="1" bestFit="1" customWidth="1"/>
    <col min="7199" max="7199" width="9.28515625" style="1" bestFit="1" customWidth="1"/>
    <col min="7200" max="7200" width="9.140625" style="1"/>
    <col min="7201" max="7208" width="9.28515625" style="1" bestFit="1" customWidth="1"/>
    <col min="7209" max="7426" width="9.140625" style="1"/>
    <col min="7427" max="7427" width="5.5703125" style="1" bestFit="1" customWidth="1"/>
    <col min="7428" max="7428" width="34.140625" style="1" customWidth="1"/>
    <col min="7429" max="7429" width="35.5703125" style="1" customWidth="1"/>
    <col min="7430" max="7430" width="10.42578125" style="1" customWidth="1"/>
    <col min="7431" max="7431" width="9.140625" style="1"/>
    <col min="7432" max="7432" width="10.5703125" style="1" bestFit="1" customWidth="1"/>
    <col min="7433" max="7433" width="9.28515625" style="1" bestFit="1" customWidth="1"/>
    <col min="7434" max="7434" width="10.42578125" style="1" customWidth="1"/>
    <col min="7435" max="7437" width="9.28515625" style="1" bestFit="1" customWidth="1"/>
    <col min="7438" max="7438" width="10.5703125" style="1" bestFit="1" customWidth="1"/>
    <col min="7439" max="7439" width="10.42578125" style="1" customWidth="1"/>
    <col min="7440" max="7440" width="16.85546875" style="1" bestFit="1" customWidth="1"/>
    <col min="7441" max="7443" width="9.28515625" style="1" bestFit="1" customWidth="1"/>
    <col min="7444" max="7444" width="10.5703125" style="1" bestFit="1" customWidth="1"/>
    <col min="7445" max="7449" width="9.28515625" style="1" bestFit="1" customWidth="1"/>
    <col min="7450" max="7450" width="12.5703125" style="1" customWidth="1"/>
    <col min="7451" max="7451" width="12" style="1" customWidth="1"/>
    <col min="7452" max="7452" width="11.140625" style="1" customWidth="1"/>
    <col min="7453" max="7453" width="12.28515625" style="1" customWidth="1"/>
    <col min="7454" max="7454" width="14.5703125" style="1" bestFit="1" customWidth="1"/>
    <col min="7455" max="7455" width="9.28515625" style="1" bestFit="1" customWidth="1"/>
    <col min="7456" max="7456" width="9.140625" style="1"/>
    <col min="7457" max="7464" width="9.28515625" style="1" bestFit="1" customWidth="1"/>
    <col min="7465" max="7682" width="9.140625" style="1"/>
    <col min="7683" max="7683" width="5.5703125" style="1" bestFit="1" customWidth="1"/>
    <col min="7684" max="7684" width="34.140625" style="1" customWidth="1"/>
    <col min="7685" max="7685" width="35.5703125" style="1" customWidth="1"/>
    <col min="7686" max="7686" width="10.42578125" style="1" customWidth="1"/>
    <col min="7687" max="7687" width="9.140625" style="1"/>
    <col min="7688" max="7688" width="10.5703125" style="1" bestFit="1" customWidth="1"/>
    <col min="7689" max="7689" width="9.28515625" style="1" bestFit="1" customWidth="1"/>
    <col min="7690" max="7690" width="10.42578125" style="1" customWidth="1"/>
    <col min="7691" max="7693" width="9.28515625" style="1" bestFit="1" customWidth="1"/>
    <col min="7694" max="7694" width="10.5703125" style="1" bestFit="1" customWidth="1"/>
    <col min="7695" max="7695" width="10.42578125" style="1" customWidth="1"/>
    <col min="7696" max="7696" width="16.85546875" style="1" bestFit="1" customWidth="1"/>
    <col min="7697" max="7699" width="9.28515625" style="1" bestFit="1" customWidth="1"/>
    <col min="7700" max="7700" width="10.5703125" style="1" bestFit="1" customWidth="1"/>
    <col min="7701" max="7705" width="9.28515625" style="1" bestFit="1" customWidth="1"/>
    <col min="7706" max="7706" width="12.5703125" style="1" customWidth="1"/>
    <col min="7707" max="7707" width="12" style="1" customWidth="1"/>
    <col min="7708" max="7708" width="11.140625" style="1" customWidth="1"/>
    <col min="7709" max="7709" width="12.28515625" style="1" customWidth="1"/>
    <col min="7710" max="7710" width="14.5703125" style="1" bestFit="1" customWidth="1"/>
    <col min="7711" max="7711" width="9.28515625" style="1" bestFit="1" customWidth="1"/>
    <col min="7712" max="7712" width="9.140625" style="1"/>
    <col min="7713" max="7720" width="9.28515625" style="1" bestFit="1" customWidth="1"/>
    <col min="7721" max="7938" width="9.140625" style="1"/>
    <col min="7939" max="7939" width="5.5703125" style="1" bestFit="1" customWidth="1"/>
    <col min="7940" max="7940" width="34.140625" style="1" customWidth="1"/>
    <col min="7941" max="7941" width="35.5703125" style="1" customWidth="1"/>
    <col min="7942" max="7942" width="10.42578125" style="1" customWidth="1"/>
    <col min="7943" max="7943" width="9.140625" style="1"/>
    <col min="7944" max="7944" width="10.5703125" style="1" bestFit="1" customWidth="1"/>
    <col min="7945" max="7945" width="9.28515625" style="1" bestFit="1" customWidth="1"/>
    <col min="7946" max="7946" width="10.42578125" style="1" customWidth="1"/>
    <col min="7947" max="7949" width="9.28515625" style="1" bestFit="1" customWidth="1"/>
    <col min="7950" max="7950" width="10.5703125" style="1" bestFit="1" customWidth="1"/>
    <col min="7951" max="7951" width="10.42578125" style="1" customWidth="1"/>
    <col min="7952" max="7952" width="16.85546875" style="1" bestFit="1" customWidth="1"/>
    <col min="7953" max="7955" width="9.28515625" style="1" bestFit="1" customWidth="1"/>
    <col min="7956" max="7956" width="10.5703125" style="1" bestFit="1" customWidth="1"/>
    <col min="7957" max="7961" width="9.28515625" style="1" bestFit="1" customWidth="1"/>
    <col min="7962" max="7962" width="12.5703125" style="1" customWidth="1"/>
    <col min="7963" max="7963" width="12" style="1" customWidth="1"/>
    <col min="7964" max="7964" width="11.140625" style="1" customWidth="1"/>
    <col min="7965" max="7965" width="12.28515625" style="1" customWidth="1"/>
    <col min="7966" max="7966" width="14.5703125" style="1" bestFit="1" customWidth="1"/>
    <col min="7967" max="7967" width="9.28515625" style="1" bestFit="1" customWidth="1"/>
    <col min="7968" max="7968" width="9.140625" style="1"/>
    <col min="7969" max="7976" width="9.28515625" style="1" bestFit="1" customWidth="1"/>
    <col min="7977" max="8194" width="9.140625" style="1"/>
    <col min="8195" max="8195" width="5.5703125" style="1" bestFit="1" customWidth="1"/>
    <col min="8196" max="8196" width="34.140625" style="1" customWidth="1"/>
    <col min="8197" max="8197" width="35.5703125" style="1" customWidth="1"/>
    <col min="8198" max="8198" width="10.42578125" style="1" customWidth="1"/>
    <col min="8199" max="8199" width="9.140625" style="1"/>
    <col min="8200" max="8200" width="10.5703125" style="1" bestFit="1" customWidth="1"/>
    <col min="8201" max="8201" width="9.28515625" style="1" bestFit="1" customWidth="1"/>
    <col min="8202" max="8202" width="10.42578125" style="1" customWidth="1"/>
    <col min="8203" max="8205" width="9.28515625" style="1" bestFit="1" customWidth="1"/>
    <col min="8206" max="8206" width="10.5703125" style="1" bestFit="1" customWidth="1"/>
    <col min="8207" max="8207" width="10.42578125" style="1" customWidth="1"/>
    <col min="8208" max="8208" width="16.85546875" style="1" bestFit="1" customWidth="1"/>
    <col min="8209" max="8211" width="9.28515625" style="1" bestFit="1" customWidth="1"/>
    <col min="8212" max="8212" width="10.5703125" style="1" bestFit="1" customWidth="1"/>
    <col min="8213" max="8217" width="9.28515625" style="1" bestFit="1" customWidth="1"/>
    <col min="8218" max="8218" width="12.5703125" style="1" customWidth="1"/>
    <col min="8219" max="8219" width="12" style="1" customWidth="1"/>
    <col min="8220" max="8220" width="11.140625" style="1" customWidth="1"/>
    <col min="8221" max="8221" width="12.28515625" style="1" customWidth="1"/>
    <col min="8222" max="8222" width="14.5703125" style="1" bestFit="1" customWidth="1"/>
    <col min="8223" max="8223" width="9.28515625" style="1" bestFit="1" customWidth="1"/>
    <col min="8224" max="8224" width="9.140625" style="1"/>
    <col min="8225" max="8232" width="9.28515625" style="1" bestFit="1" customWidth="1"/>
    <col min="8233" max="8450" width="9.140625" style="1"/>
    <col min="8451" max="8451" width="5.5703125" style="1" bestFit="1" customWidth="1"/>
    <col min="8452" max="8452" width="34.140625" style="1" customWidth="1"/>
    <col min="8453" max="8453" width="35.5703125" style="1" customWidth="1"/>
    <col min="8454" max="8454" width="10.42578125" style="1" customWidth="1"/>
    <col min="8455" max="8455" width="9.140625" style="1"/>
    <col min="8456" max="8456" width="10.5703125" style="1" bestFit="1" customWidth="1"/>
    <col min="8457" max="8457" width="9.28515625" style="1" bestFit="1" customWidth="1"/>
    <col min="8458" max="8458" width="10.42578125" style="1" customWidth="1"/>
    <col min="8459" max="8461" width="9.28515625" style="1" bestFit="1" customWidth="1"/>
    <col min="8462" max="8462" width="10.5703125" style="1" bestFit="1" customWidth="1"/>
    <col min="8463" max="8463" width="10.42578125" style="1" customWidth="1"/>
    <col min="8464" max="8464" width="16.85546875" style="1" bestFit="1" customWidth="1"/>
    <col min="8465" max="8467" width="9.28515625" style="1" bestFit="1" customWidth="1"/>
    <col min="8468" max="8468" width="10.5703125" style="1" bestFit="1" customWidth="1"/>
    <col min="8469" max="8473" width="9.28515625" style="1" bestFit="1" customWidth="1"/>
    <col min="8474" max="8474" width="12.5703125" style="1" customWidth="1"/>
    <col min="8475" max="8475" width="12" style="1" customWidth="1"/>
    <col min="8476" max="8476" width="11.140625" style="1" customWidth="1"/>
    <col min="8477" max="8477" width="12.28515625" style="1" customWidth="1"/>
    <col min="8478" max="8478" width="14.5703125" style="1" bestFit="1" customWidth="1"/>
    <col min="8479" max="8479" width="9.28515625" style="1" bestFit="1" customWidth="1"/>
    <col min="8480" max="8480" width="9.140625" style="1"/>
    <col min="8481" max="8488" width="9.28515625" style="1" bestFit="1" customWidth="1"/>
    <col min="8489" max="8706" width="9.140625" style="1"/>
    <col min="8707" max="8707" width="5.5703125" style="1" bestFit="1" customWidth="1"/>
    <col min="8708" max="8708" width="34.140625" style="1" customWidth="1"/>
    <col min="8709" max="8709" width="35.5703125" style="1" customWidth="1"/>
    <col min="8710" max="8710" width="10.42578125" style="1" customWidth="1"/>
    <col min="8711" max="8711" width="9.140625" style="1"/>
    <col min="8712" max="8712" width="10.5703125" style="1" bestFit="1" customWidth="1"/>
    <col min="8713" max="8713" width="9.28515625" style="1" bestFit="1" customWidth="1"/>
    <col min="8714" max="8714" width="10.42578125" style="1" customWidth="1"/>
    <col min="8715" max="8717" width="9.28515625" style="1" bestFit="1" customWidth="1"/>
    <col min="8718" max="8718" width="10.5703125" style="1" bestFit="1" customWidth="1"/>
    <col min="8719" max="8719" width="10.42578125" style="1" customWidth="1"/>
    <col min="8720" max="8720" width="16.85546875" style="1" bestFit="1" customWidth="1"/>
    <col min="8721" max="8723" width="9.28515625" style="1" bestFit="1" customWidth="1"/>
    <col min="8724" max="8724" width="10.5703125" style="1" bestFit="1" customWidth="1"/>
    <col min="8725" max="8729" width="9.28515625" style="1" bestFit="1" customWidth="1"/>
    <col min="8730" max="8730" width="12.5703125" style="1" customWidth="1"/>
    <col min="8731" max="8731" width="12" style="1" customWidth="1"/>
    <col min="8732" max="8732" width="11.140625" style="1" customWidth="1"/>
    <col min="8733" max="8733" width="12.28515625" style="1" customWidth="1"/>
    <col min="8734" max="8734" width="14.5703125" style="1" bestFit="1" customWidth="1"/>
    <col min="8735" max="8735" width="9.28515625" style="1" bestFit="1" customWidth="1"/>
    <col min="8736" max="8736" width="9.140625" style="1"/>
    <col min="8737" max="8744" width="9.28515625" style="1" bestFit="1" customWidth="1"/>
    <col min="8745" max="8962" width="9.140625" style="1"/>
    <col min="8963" max="8963" width="5.5703125" style="1" bestFit="1" customWidth="1"/>
    <col min="8964" max="8964" width="34.140625" style="1" customWidth="1"/>
    <col min="8965" max="8965" width="35.5703125" style="1" customWidth="1"/>
    <col min="8966" max="8966" width="10.42578125" style="1" customWidth="1"/>
    <col min="8967" max="8967" width="9.140625" style="1"/>
    <col min="8968" max="8968" width="10.5703125" style="1" bestFit="1" customWidth="1"/>
    <col min="8969" max="8969" width="9.28515625" style="1" bestFit="1" customWidth="1"/>
    <col min="8970" max="8970" width="10.42578125" style="1" customWidth="1"/>
    <col min="8971" max="8973" width="9.28515625" style="1" bestFit="1" customWidth="1"/>
    <col min="8974" max="8974" width="10.5703125" style="1" bestFit="1" customWidth="1"/>
    <col min="8975" max="8975" width="10.42578125" style="1" customWidth="1"/>
    <col min="8976" max="8976" width="16.85546875" style="1" bestFit="1" customWidth="1"/>
    <col min="8977" max="8979" width="9.28515625" style="1" bestFit="1" customWidth="1"/>
    <col min="8980" max="8980" width="10.5703125" style="1" bestFit="1" customWidth="1"/>
    <col min="8981" max="8985" width="9.28515625" style="1" bestFit="1" customWidth="1"/>
    <col min="8986" max="8986" width="12.5703125" style="1" customWidth="1"/>
    <col min="8987" max="8987" width="12" style="1" customWidth="1"/>
    <col min="8988" max="8988" width="11.140625" style="1" customWidth="1"/>
    <col min="8989" max="8989" width="12.28515625" style="1" customWidth="1"/>
    <col min="8990" max="8990" width="14.5703125" style="1" bestFit="1" customWidth="1"/>
    <col min="8991" max="8991" width="9.28515625" style="1" bestFit="1" customWidth="1"/>
    <col min="8992" max="8992" width="9.140625" style="1"/>
    <col min="8993" max="9000" width="9.28515625" style="1" bestFit="1" customWidth="1"/>
    <col min="9001" max="9218" width="9.140625" style="1"/>
    <col min="9219" max="9219" width="5.5703125" style="1" bestFit="1" customWidth="1"/>
    <col min="9220" max="9220" width="34.140625" style="1" customWidth="1"/>
    <col min="9221" max="9221" width="35.5703125" style="1" customWidth="1"/>
    <col min="9222" max="9222" width="10.42578125" style="1" customWidth="1"/>
    <col min="9223" max="9223" width="9.140625" style="1"/>
    <col min="9224" max="9224" width="10.5703125" style="1" bestFit="1" customWidth="1"/>
    <col min="9225" max="9225" width="9.28515625" style="1" bestFit="1" customWidth="1"/>
    <col min="9226" max="9226" width="10.42578125" style="1" customWidth="1"/>
    <col min="9227" max="9229" width="9.28515625" style="1" bestFit="1" customWidth="1"/>
    <col min="9230" max="9230" width="10.5703125" style="1" bestFit="1" customWidth="1"/>
    <col min="9231" max="9231" width="10.42578125" style="1" customWidth="1"/>
    <col min="9232" max="9232" width="16.85546875" style="1" bestFit="1" customWidth="1"/>
    <col min="9233" max="9235" width="9.28515625" style="1" bestFit="1" customWidth="1"/>
    <col min="9236" max="9236" width="10.5703125" style="1" bestFit="1" customWidth="1"/>
    <col min="9237" max="9241" width="9.28515625" style="1" bestFit="1" customWidth="1"/>
    <col min="9242" max="9242" width="12.5703125" style="1" customWidth="1"/>
    <col min="9243" max="9243" width="12" style="1" customWidth="1"/>
    <col min="9244" max="9244" width="11.140625" style="1" customWidth="1"/>
    <col min="9245" max="9245" width="12.28515625" style="1" customWidth="1"/>
    <col min="9246" max="9246" width="14.5703125" style="1" bestFit="1" customWidth="1"/>
    <col min="9247" max="9247" width="9.28515625" style="1" bestFit="1" customWidth="1"/>
    <col min="9248" max="9248" width="9.140625" style="1"/>
    <col min="9249" max="9256" width="9.28515625" style="1" bestFit="1" customWidth="1"/>
    <col min="9257" max="9474" width="9.140625" style="1"/>
    <col min="9475" max="9475" width="5.5703125" style="1" bestFit="1" customWidth="1"/>
    <col min="9476" max="9476" width="34.140625" style="1" customWidth="1"/>
    <col min="9477" max="9477" width="35.5703125" style="1" customWidth="1"/>
    <col min="9478" max="9478" width="10.42578125" style="1" customWidth="1"/>
    <col min="9479" max="9479" width="9.140625" style="1"/>
    <col min="9480" max="9480" width="10.5703125" style="1" bestFit="1" customWidth="1"/>
    <col min="9481" max="9481" width="9.28515625" style="1" bestFit="1" customWidth="1"/>
    <col min="9482" max="9482" width="10.42578125" style="1" customWidth="1"/>
    <col min="9483" max="9485" width="9.28515625" style="1" bestFit="1" customWidth="1"/>
    <col min="9486" max="9486" width="10.5703125" style="1" bestFit="1" customWidth="1"/>
    <col min="9487" max="9487" width="10.42578125" style="1" customWidth="1"/>
    <col min="9488" max="9488" width="16.85546875" style="1" bestFit="1" customWidth="1"/>
    <col min="9489" max="9491" width="9.28515625" style="1" bestFit="1" customWidth="1"/>
    <col min="9492" max="9492" width="10.5703125" style="1" bestFit="1" customWidth="1"/>
    <col min="9493" max="9497" width="9.28515625" style="1" bestFit="1" customWidth="1"/>
    <col min="9498" max="9498" width="12.5703125" style="1" customWidth="1"/>
    <col min="9499" max="9499" width="12" style="1" customWidth="1"/>
    <col min="9500" max="9500" width="11.140625" style="1" customWidth="1"/>
    <col min="9501" max="9501" width="12.28515625" style="1" customWidth="1"/>
    <col min="9502" max="9502" width="14.5703125" style="1" bestFit="1" customWidth="1"/>
    <col min="9503" max="9503" width="9.28515625" style="1" bestFit="1" customWidth="1"/>
    <col min="9504" max="9504" width="9.140625" style="1"/>
    <col min="9505" max="9512" width="9.28515625" style="1" bestFit="1" customWidth="1"/>
    <col min="9513" max="9730" width="9.140625" style="1"/>
    <col min="9731" max="9731" width="5.5703125" style="1" bestFit="1" customWidth="1"/>
    <col min="9732" max="9732" width="34.140625" style="1" customWidth="1"/>
    <col min="9733" max="9733" width="35.5703125" style="1" customWidth="1"/>
    <col min="9734" max="9734" width="10.42578125" style="1" customWidth="1"/>
    <col min="9735" max="9735" width="9.140625" style="1"/>
    <col min="9736" max="9736" width="10.5703125" style="1" bestFit="1" customWidth="1"/>
    <col min="9737" max="9737" width="9.28515625" style="1" bestFit="1" customWidth="1"/>
    <col min="9738" max="9738" width="10.42578125" style="1" customWidth="1"/>
    <col min="9739" max="9741" width="9.28515625" style="1" bestFit="1" customWidth="1"/>
    <col min="9742" max="9742" width="10.5703125" style="1" bestFit="1" customWidth="1"/>
    <col min="9743" max="9743" width="10.42578125" style="1" customWidth="1"/>
    <col min="9744" max="9744" width="16.85546875" style="1" bestFit="1" customWidth="1"/>
    <col min="9745" max="9747" width="9.28515625" style="1" bestFit="1" customWidth="1"/>
    <col min="9748" max="9748" width="10.5703125" style="1" bestFit="1" customWidth="1"/>
    <col min="9749" max="9753" width="9.28515625" style="1" bestFit="1" customWidth="1"/>
    <col min="9754" max="9754" width="12.5703125" style="1" customWidth="1"/>
    <col min="9755" max="9755" width="12" style="1" customWidth="1"/>
    <col min="9756" max="9756" width="11.140625" style="1" customWidth="1"/>
    <col min="9757" max="9757" width="12.28515625" style="1" customWidth="1"/>
    <col min="9758" max="9758" width="14.5703125" style="1" bestFit="1" customWidth="1"/>
    <col min="9759" max="9759" width="9.28515625" style="1" bestFit="1" customWidth="1"/>
    <col min="9760" max="9760" width="9.140625" style="1"/>
    <col min="9761" max="9768" width="9.28515625" style="1" bestFit="1" customWidth="1"/>
    <col min="9769" max="9986" width="9.140625" style="1"/>
    <col min="9987" max="9987" width="5.5703125" style="1" bestFit="1" customWidth="1"/>
    <col min="9988" max="9988" width="34.140625" style="1" customWidth="1"/>
    <col min="9989" max="9989" width="35.5703125" style="1" customWidth="1"/>
    <col min="9990" max="9990" width="10.42578125" style="1" customWidth="1"/>
    <col min="9991" max="9991" width="9.140625" style="1"/>
    <col min="9992" max="9992" width="10.5703125" style="1" bestFit="1" customWidth="1"/>
    <col min="9993" max="9993" width="9.28515625" style="1" bestFit="1" customWidth="1"/>
    <col min="9994" max="9994" width="10.42578125" style="1" customWidth="1"/>
    <col min="9995" max="9997" width="9.28515625" style="1" bestFit="1" customWidth="1"/>
    <col min="9998" max="9998" width="10.5703125" style="1" bestFit="1" customWidth="1"/>
    <col min="9999" max="9999" width="10.42578125" style="1" customWidth="1"/>
    <col min="10000" max="10000" width="16.85546875" style="1" bestFit="1" customWidth="1"/>
    <col min="10001" max="10003" width="9.28515625" style="1" bestFit="1" customWidth="1"/>
    <col min="10004" max="10004" width="10.5703125" style="1" bestFit="1" customWidth="1"/>
    <col min="10005" max="10009" width="9.28515625" style="1" bestFit="1" customWidth="1"/>
    <col min="10010" max="10010" width="12.5703125" style="1" customWidth="1"/>
    <col min="10011" max="10011" width="12" style="1" customWidth="1"/>
    <col min="10012" max="10012" width="11.140625" style="1" customWidth="1"/>
    <col min="10013" max="10013" width="12.28515625" style="1" customWidth="1"/>
    <col min="10014" max="10014" width="14.5703125" style="1" bestFit="1" customWidth="1"/>
    <col min="10015" max="10015" width="9.28515625" style="1" bestFit="1" customWidth="1"/>
    <col min="10016" max="10016" width="9.140625" style="1"/>
    <col min="10017" max="10024" width="9.28515625" style="1" bestFit="1" customWidth="1"/>
    <col min="10025" max="10242" width="9.140625" style="1"/>
    <col min="10243" max="10243" width="5.5703125" style="1" bestFit="1" customWidth="1"/>
    <col min="10244" max="10244" width="34.140625" style="1" customWidth="1"/>
    <col min="10245" max="10245" width="35.5703125" style="1" customWidth="1"/>
    <col min="10246" max="10246" width="10.42578125" style="1" customWidth="1"/>
    <col min="10247" max="10247" width="9.140625" style="1"/>
    <col min="10248" max="10248" width="10.5703125" style="1" bestFit="1" customWidth="1"/>
    <col min="10249" max="10249" width="9.28515625" style="1" bestFit="1" customWidth="1"/>
    <col min="10250" max="10250" width="10.42578125" style="1" customWidth="1"/>
    <col min="10251" max="10253" width="9.28515625" style="1" bestFit="1" customWidth="1"/>
    <col min="10254" max="10254" width="10.5703125" style="1" bestFit="1" customWidth="1"/>
    <col min="10255" max="10255" width="10.42578125" style="1" customWidth="1"/>
    <col min="10256" max="10256" width="16.85546875" style="1" bestFit="1" customWidth="1"/>
    <col min="10257" max="10259" width="9.28515625" style="1" bestFit="1" customWidth="1"/>
    <col min="10260" max="10260" width="10.5703125" style="1" bestFit="1" customWidth="1"/>
    <col min="10261" max="10265" width="9.28515625" style="1" bestFit="1" customWidth="1"/>
    <col min="10266" max="10266" width="12.5703125" style="1" customWidth="1"/>
    <col min="10267" max="10267" width="12" style="1" customWidth="1"/>
    <col min="10268" max="10268" width="11.140625" style="1" customWidth="1"/>
    <col min="10269" max="10269" width="12.28515625" style="1" customWidth="1"/>
    <col min="10270" max="10270" width="14.5703125" style="1" bestFit="1" customWidth="1"/>
    <col min="10271" max="10271" width="9.28515625" style="1" bestFit="1" customWidth="1"/>
    <col min="10272" max="10272" width="9.140625" style="1"/>
    <col min="10273" max="10280" width="9.28515625" style="1" bestFit="1" customWidth="1"/>
    <col min="10281" max="10498" width="9.140625" style="1"/>
    <col min="10499" max="10499" width="5.5703125" style="1" bestFit="1" customWidth="1"/>
    <col min="10500" max="10500" width="34.140625" style="1" customWidth="1"/>
    <col min="10501" max="10501" width="35.5703125" style="1" customWidth="1"/>
    <col min="10502" max="10502" width="10.42578125" style="1" customWidth="1"/>
    <col min="10503" max="10503" width="9.140625" style="1"/>
    <col min="10504" max="10504" width="10.5703125" style="1" bestFit="1" customWidth="1"/>
    <col min="10505" max="10505" width="9.28515625" style="1" bestFit="1" customWidth="1"/>
    <col min="10506" max="10506" width="10.42578125" style="1" customWidth="1"/>
    <col min="10507" max="10509" width="9.28515625" style="1" bestFit="1" customWidth="1"/>
    <col min="10510" max="10510" width="10.5703125" style="1" bestFit="1" customWidth="1"/>
    <col min="10511" max="10511" width="10.42578125" style="1" customWidth="1"/>
    <col min="10512" max="10512" width="16.85546875" style="1" bestFit="1" customWidth="1"/>
    <col min="10513" max="10515" width="9.28515625" style="1" bestFit="1" customWidth="1"/>
    <col min="10516" max="10516" width="10.5703125" style="1" bestFit="1" customWidth="1"/>
    <col min="10517" max="10521" width="9.28515625" style="1" bestFit="1" customWidth="1"/>
    <col min="10522" max="10522" width="12.5703125" style="1" customWidth="1"/>
    <col min="10523" max="10523" width="12" style="1" customWidth="1"/>
    <col min="10524" max="10524" width="11.140625" style="1" customWidth="1"/>
    <col min="10525" max="10525" width="12.28515625" style="1" customWidth="1"/>
    <col min="10526" max="10526" width="14.5703125" style="1" bestFit="1" customWidth="1"/>
    <col min="10527" max="10527" width="9.28515625" style="1" bestFit="1" customWidth="1"/>
    <col min="10528" max="10528" width="9.140625" style="1"/>
    <col min="10529" max="10536" width="9.28515625" style="1" bestFit="1" customWidth="1"/>
    <col min="10537" max="10754" width="9.140625" style="1"/>
    <col min="10755" max="10755" width="5.5703125" style="1" bestFit="1" customWidth="1"/>
    <col min="10756" max="10756" width="34.140625" style="1" customWidth="1"/>
    <col min="10757" max="10757" width="35.5703125" style="1" customWidth="1"/>
    <col min="10758" max="10758" width="10.42578125" style="1" customWidth="1"/>
    <col min="10759" max="10759" width="9.140625" style="1"/>
    <col min="10760" max="10760" width="10.5703125" style="1" bestFit="1" customWidth="1"/>
    <col min="10761" max="10761" width="9.28515625" style="1" bestFit="1" customWidth="1"/>
    <col min="10762" max="10762" width="10.42578125" style="1" customWidth="1"/>
    <col min="10763" max="10765" width="9.28515625" style="1" bestFit="1" customWidth="1"/>
    <col min="10766" max="10766" width="10.5703125" style="1" bestFit="1" customWidth="1"/>
    <col min="10767" max="10767" width="10.42578125" style="1" customWidth="1"/>
    <col min="10768" max="10768" width="16.85546875" style="1" bestFit="1" customWidth="1"/>
    <col min="10769" max="10771" width="9.28515625" style="1" bestFit="1" customWidth="1"/>
    <col min="10772" max="10772" width="10.5703125" style="1" bestFit="1" customWidth="1"/>
    <col min="10773" max="10777" width="9.28515625" style="1" bestFit="1" customWidth="1"/>
    <col min="10778" max="10778" width="12.5703125" style="1" customWidth="1"/>
    <col min="10779" max="10779" width="12" style="1" customWidth="1"/>
    <col min="10780" max="10780" width="11.140625" style="1" customWidth="1"/>
    <col min="10781" max="10781" width="12.28515625" style="1" customWidth="1"/>
    <col min="10782" max="10782" width="14.5703125" style="1" bestFit="1" customWidth="1"/>
    <col min="10783" max="10783" width="9.28515625" style="1" bestFit="1" customWidth="1"/>
    <col min="10784" max="10784" width="9.140625" style="1"/>
    <col min="10785" max="10792" width="9.28515625" style="1" bestFit="1" customWidth="1"/>
    <col min="10793" max="11010" width="9.140625" style="1"/>
    <col min="11011" max="11011" width="5.5703125" style="1" bestFit="1" customWidth="1"/>
    <col min="11012" max="11012" width="34.140625" style="1" customWidth="1"/>
    <col min="11013" max="11013" width="35.5703125" style="1" customWidth="1"/>
    <col min="11014" max="11014" width="10.42578125" style="1" customWidth="1"/>
    <col min="11015" max="11015" width="9.140625" style="1"/>
    <col min="11016" max="11016" width="10.5703125" style="1" bestFit="1" customWidth="1"/>
    <col min="11017" max="11017" width="9.28515625" style="1" bestFit="1" customWidth="1"/>
    <col min="11018" max="11018" width="10.42578125" style="1" customWidth="1"/>
    <col min="11019" max="11021" width="9.28515625" style="1" bestFit="1" customWidth="1"/>
    <col min="11022" max="11022" width="10.5703125" style="1" bestFit="1" customWidth="1"/>
    <col min="11023" max="11023" width="10.42578125" style="1" customWidth="1"/>
    <col min="11024" max="11024" width="16.85546875" style="1" bestFit="1" customWidth="1"/>
    <col min="11025" max="11027" width="9.28515625" style="1" bestFit="1" customWidth="1"/>
    <col min="11028" max="11028" width="10.5703125" style="1" bestFit="1" customWidth="1"/>
    <col min="11029" max="11033" width="9.28515625" style="1" bestFit="1" customWidth="1"/>
    <col min="11034" max="11034" width="12.5703125" style="1" customWidth="1"/>
    <col min="11035" max="11035" width="12" style="1" customWidth="1"/>
    <col min="11036" max="11036" width="11.140625" style="1" customWidth="1"/>
    <col min="11037" max="11037" width="12.28515625" style="1" customWidth="1"/>
    <col min="11038" max="11038" width="14.5703125" style="1" bestFit="1" customWidth="1"/>
    <col min="11039" max="11039" width="9.28515625" style="1" bestFit="1" customWidth="1"/>
    <col min="11040" max="11040" width="9.140625" style="1"/>
    <col min="11041" max="11048" width="9.28515625" style="1" bestFit="1" customWidth="1"/>
    <col min="11049" max="11266" width="9.140625" style="1"/>
    <col min="11267" max="11267" width="5.5703125" style="1" bestFit="1" customWidth="1"/>
    <col min="11268" max="11268" width="34.140625" style="1" customWidth="1"/>
    <col min="11269" max="11269" width="35.5703125" style="1" customWidth="1"/>
    <col min="11270" max="11270" width="10.42578125" style="1" customWidth="1"/>
    <col min="11271" max="11271" width="9.140625" style="1"/>
    <col min="11272" max="11272" width="10.5703125" style="1" bestFit="1" customWidth="1"/>
    <col min="11273" max="11273" width="9.28515625" style="1" bestFit="1" customWidth="1"/>
    <col min="11274" max="11274" width="10.42578125" style="1" customWidth="1"/>
    <col min="11275" max="11277" width="9.28515625" style="1" bestFit="1" customWidth="1"/>
    <col min="11278" max="11278" width="10.5703125" style="1" bestFit="1" customWidth="1"/>
    <col min="11279" max="11279" width="10.42578125" style="1" customWidth="1"/>
    <col min="11280" max="11280" width="16.85546875" style="1" bestFit="1" customWidth="1"/>
    <col min="11281" max="11283" width="9.28515625" style="1" bestFit="1" customWidth="1"/>
    <col min="11284" max="11284" width="10.5703125" style="1" bestFit="1" customWidth="1"/>
    <col min="11285" max="11289" width="9.28515625" style="1" bestFit="1" customWidth="1"/>
    <col min="11290" max="11290" width="12.5703125" style="1" customWidth="1"/>
    <col min="11291" max="11291" width="12" style="1" customWidth="1"/>
    <col min="11292" max="11292" width="11.140625" style="1" customWidth="1"/>
    <col min="11293" max="11293" width="12.28515625" style="1" customWidth="1"/>
    <col min="11294" max="11294" width="14.5703125" style="1" bestFit="1" customWidth="1"/>
    <col min="11295" max="11295" width="9.28515625" style="1" bestFit="1" customWidth="1"/>
    <col min="11296" max="11296" width="9.140625" style="1"/>
    <col min="11297" max="11304" width="9.28515625" style="1" bestFit="1" customWidth="1"/>
    <col min="11305" max="11522" width="9.140625" style="1"/>
    <col min="11523" max="11523" width="5.5703125" style="1" bestFit="1" customWidth="1"/>
    <col min="11524" max="11524" width="34.140625" style="1" customWidth="1"/>
    <col min="11525" max="11525" width="35.5703125" style="1" customWidth="1"/>
    <col min="11526" max="11526" width="10.42578125" style="1" customWidth="1"/>
    <col min="11527" max="11527" width="9.140625" style="1"/>
    <col min="11528" max="11528" width="10.5703125" style="1" bestFit="1" customWidth="1"/>
    <col min="11529" max="11529" width="9.28515625" style="1" bestFit="1" customWidth="1"/>
    <col min="11530" max="11530" width="10.42578125" style="1" customWidth="1"/>
    <col min="11531" max="11533" width="9.28515625" style="1" bestFit="1" customWidth="1"/>
    <col min="11534" max="11534" width="10.5703125" style="1" bestFit="1" customWidth="1"/>
    <col min="11535" max="11535" width="10.42578125" style="1" customWidth="1"/>
    <col min="11536" max="11536" width="16.85546875" style="1" bestFit="1" customWidth="1"/>
    <col min="11537" max="11539" width="9.28515625" style="1" bestFit="1" customWidth="1"/>
    <col min="11540" max="11540" width="10.5703125" style="1" bestFit="1" customWidth="1"/>
    <col min="11541" max="11545" width="9.28515625" style="1" bestFit="1" customWidth="1"/>
    <col min="11546" max="11546" width="12.5703125" style="1" customWidth="1"/>
    <col min="11547" max="11547" width="12" style="1" customWidth="1"/>
    <col min="11548" max="11548" width="11.140625" style="1" customWidth="1"/>
    <col min="11549" max="11549" width="12.28515625" style="1" customWidth="1"/>
    <col min="11550" max="11550" width="14.5703125" style="1" bestFit="1" customWidth="1"/>
    <col min="11551" max="11551" width="9.28515625" style="1" bestFit="1" customWidth="1"/>
    <col min="11552" max="11552" width="9.140625" style="1"/>
    <col min="11553" max="11560" width="9.28515625" style="1" bestFit="1" customWidth="1"/>
    <col min="11561" max="11778" width="9.140625" style="1"/>
    <col min="11779" max="11779" width="5.5703125" style="1" bestFit="1" customWidth="1"/>
    <col min="11780" max="11780" width="34.140625" style="1" customWidth="1"/>
    <col min="11781" max="11781" width="35.5703125" style="1" customWidth="1"/>
    <col min="11782" max="11782" width="10.42578125" style="1" customWidth="1"/>
    <col min="11783" max="11783" width="9.140625" style="1"/>
    <col min="11784" max="11784" width="10.5703125" style="1" bestFit="1" customWidth="1"/>
    <col min="11785" max="11785" width="9.28515625" style="1" bestFit="1" customWidth="1"/>
    <col min="11786" max="11786" width="10.42578125" style="1" customWidth="1"/>
    <col min="11787" max="11789" width="9.28515625" style="1" bestFit="1" customWidth="1"/>
    <col min="11790" max="11790" width="10.5703125" style="1" bestFit="1" customWidth="1"/>
    <col min="11791" max="11791" width="10.42578125" style="1" customWidth="1"/>
    <col min="11792" max="11792" width="16.85546875" style="1" bestFit="1" customWidth="1"/>
    <col min="11793" max="11795" width="9.28515625" style="1" bestFit="1" customWidth="1"/>
    <col min="11796" max="11796" width="10.5703125" style="1" bestFit="1" customWidth="1"/>
    <col min="11797" max="11801" width="9.28515625" style="1" bestFit="1" customWidth="1"/>
    <col min="11802" max="11802" width="12.5703125" style="1" customWidth="1"/>
    <col min="11803" max="11803" width="12" style="1" customWidth="1"/>
    <col min="11804" max="11804" width="11.140625" style="1" customWidth="1"/>
    <col min="11805" max="11805" width="12.28515625" style="1" customWidth="1"/>
    <col min="11806" max="11806" width="14.5703125" style="1" bestFit="1" customWidth="1"/>
    <col min="11807" max="11807" width="9.28515625" style="1" bestFit="1" customWidth="1"/>
    <col min="11808" max="11808" width="9.140625" style="1"/>
    <col min="11809" max="11816" width="9.28515625" style="1" bestFit="1" customWidth="1"/>
    <col min="11817" max="12034" width="9.140625" style="1"/>
    <col min="12035" max="12035" width="5.5703125" style="1" bestFit="1" customWidth="1"/>
    <col min="12036" max="12036" width="34.140625" style="1" customWidth="1"/>
    <col min="12037" max="12037" width="35.5703125" style="1" customWidth="1"/>
    <col min="12038" max="12038" width="10.42578125" style="1" customWidth="1"/>
    <col min="12039" max="12039" width="9.140625" style="1"/>
    <col min="12040" max="12040" width="10.5703125" style="1" bestFit="1" customWidth="1"/>
    <col min="12041" max="12041" width="9.28515625" style="1" bestFit="1" customWidth="1"/>
    <col min="12042" max="12042" width="10.42578125" style="1" customWidth="1"/>
    <col min="12043" max="12045" width="9.28515625" style="1" bestFit="1" customWidth="1"/>
    <col min="12046" max="12046" width="10.5703125" style="1" bestFit="1" customWidth="1"/>
    <col min="12047" max="12047" width="10.42578125" style="1" customWidth="1"/>
    <col min="12048" max="12048" width="16.85546875" style="1" bestFit="1" customWidth="1"/>
    <col min="12049" max="12051" width="9.28515625" style="1" bestFit="1" customWidth="1"/>
    <col min="12052" max="12052" width="10.5703125" style="1" bestFit="1" customWidth="1"/>
    <col min="12053" max="12057" width="9.28515625" style="1" bestFit="1" customWidth="1"/>
    <col min="12058" max="12058" width="12.5703125" style="1" customWidth="1"/>
    <col min="12059" max="12059" width="12" style="1" customWidth="1"/>
    <col min="12060" max="12060" width="11.140625" style="1" customWidth="1"/>
    <col min="12061" max="12061" width="12.28515625" style="1" customWidth="1"/>
    <col min="12062" max="12062" width="14.5703125" style="1" bestFit="1" customWidth="1"/>
    <col min="12063" max="12063" width="9.28515625" style="1" bestFit="1" customWidth="1"/>
    <col min="12064" max="12064" width="9.140625" style="1"/>
    <col min="12065" max="12072" width="9.28515625" style="1" bestFit="1" customWidth="1"/>
    <col min="12073" max="12290" width="9.140625" style="1"/>
    <col min="12291" max="12291" width="5.5703125" style="1" bestFit="1" customWidth="1"/>
    <col min="12292" max="12292" width="34.140625" style="1" customWidth="1"/>
    <col min="12293" max="12293" width="35.5703125" style="1" customWidth="1"/>
    <col min="12294" max="12294" width="10.42578125" style="1" customWidth="1"/>
    <col min="12295" max="12295" width="9.140625" style="1"/>
    <col min="12296" max="12296" width="10.5703125" style="1" bestFit="1" customWidth="1"/>
    <col min="12297" max="12297" width="9.28515625" style="1" bestFit="1" customWidth="1"/>
    <col min="12298" max="12298" width="10.42578125" style="1" customWidth="1"/>
    <col min="12299" max="12301" width="9.28515625" style="1" bestFit="1" customWidth="1"/>
    <col min="12302" max="12302" width="10.5703125" style="1" bestFit="1" customWidth="1"/>
    <col min="12303" max="12303" width="10.42578125" style="1" customWidth="1"/>
    <col min="12304" max="12304" width="16.85546875" style="1" bestFit="1" customWidth="1"/>
    <col min="12305" max="12307" width="9.28515625" style="1" bestFit="1" customWidth="1"/>
    <col min="12308" max="12308" width="10.5703125" style="1" bestFit="1" customWidth="1"/>
    <col min="12309" max="12313" width="9.28515625" style="1" bestFit="1" customWidth="1"/>
    <col min="12314" max="12314" width="12.5703125" style="1" customWidth="1"/>
    <col min="12315" max="12315" width="12" style="1" customWidth="1"/>
    <col min="12316" max="12316" width="11.140625" style="1" customWidth="1"/>
    <col min="12317" max="12317" width="12.28515625" style="1" customWidth="1"/>
    <col min="12318" max="12318" width="14.5703125" style="1" bestFit="1" customWidth="1"/>
    <col min="12319" max="12319" width="9.28515625" style="1" bestFit="1" customWidth="1"/>
    <col min="12320" max="12320" width="9.140625" style="1"/>
    <col min="12321" max="12328" width="9.28515625" style="1" bestFit="1" customWidth="1"/>
    <col min="12329" max="12546" width="9.140625" style="1"/>
    <col min="12547" max="12547" width="5.5703125" style="1" bestFit="1" customWidth="1"/>
    <col min="12548" max="12548" width="34.140625" style="1" customWidth="1"/>
    <col min="12549" max="12549" width="35.5703125" style="1" customWidth="1"/>
    <col min="12550" max="12550" width="10.42578125" style="1" customWidth="1"/>
    <col min="12551" max="12551" width="9.140625" style="1"/>
    <col min="12552" max="12552" width="10.5703125" style="1" bestFit="1" customWidth="1"/>
    <col min="12553" max="12553" width="9.28515625" style="1" bestFit="1" customWidth="1"/>
    <col min="12554" max="12554" width="10.42578125" style="1" customWidth="1"/>
    <col min="12555" max="12557" width="9.28515625" style="1" bestFit="1" customWidth="1"/>
    <col min="12558" max="12558" width="10.5703125" style="1" bestFit="1" customWidth="1"/>
    <col min="12559" max="12559" width="10.42578125" style="1" customWidth="1"/>
    <col min="12560" max="12560" width="16.85546875" style="1" bestFit="1" customWidth="1"/>
    <col min="12561" max="12563" width="9.28515625" style="1" bestFit="1" customWidth="1"/>
    <col min="12564" max="12564" width="10.5703125" style="1" bestFit="1" customWidth="1"/>
    <col min="12565" max="12569" width="9.28515625" style="1" bestFit="1" customWidth="1"/>
    <col min="12570" max="12570" width="12.5703125" style="1" customWidth="1"/>
    <col min="12571" max="12571" width="12" style="1" customWidth="1"/>
    <col min="12572" max="12572" width="11.140625" style="1" customWidth="1"/>
    <col min="12573" max="12573" width="12.28515625" style="1" customWidth="1"/>
    <col min="12574" max="12574" width="14.5703125" style="1" bestFit="1" customWidth="1"/>
    <col min="12575" max="12575" width="9.28515625" style="1" bestFit="1" customWidth="1"/>
    <col min="12576" max="12576" width="9.140625" style="1"/>
    <col min="12577" max="12584" width="9.28515625" style="1" bestFit="1" customWidth="1"/>
    <col min="12585" max="12802" width="9.140625" style="1"/>
    <col min="12803" max="12803" width="5.5703125" style="1" bestFit="1" customWidth="1"/>
    <col min="12804" max="12804" width="34.140625" style="1" customWidth="1"/>
    <col min="12805" max="12805" width="35.5703125" style="1" customWidth="1"/>
    <col min="12806" max="12806" width="10.42578125" style="1" customWidth="1"/>
    <col min="12807" max="12807" width="9.140625" style="1"/>
    <col min="12808" max="12808" width="10.5703125" style="1" bestFit="1" customWidth="1"/>
    <col min="12809" max="12809" width="9.28515625" style="1" bestFit="1" customWidth="1"/>
    <col min="12810" max="12810" width="10.42578125" style="1" customWidth="1"/>
    <col min="12811" max="12813" width="9.28515625" style="1" bestFit="1" customWidth="1"/>
    <col min="12814" max="12814" width="10.5703125" style="1" bestFit="1" customWidth="1"/>
    <col min="12815" max="12815" width="10.42578125" style="1" customWidth="1"/>
    <col min="12816" max="12816" width="16.85546875" style="1" bestFit="1" customWidth="1"/>
    <col min="12817" max="12819" width="9.28515625" style="1" bestFit="1" customWidth="1"/>
    <col min="12820" max="12820" width="10.5703125" style="1" bestFit="1" customWidth="1"/>
    <col min="12821" max="12825" width="9.28515625" style="1" bestFit="1" customWidth="1"/>
    <col min="12826" max="12826" width="12.5703125" style="1" customWidth="1"/>
    <col min="12827" max="12827" width="12" style="1" customWidth="1"/>
    <col min="12828" max="12828" width="11.140625" style="1" customWidth="1"/>
    <col min="12829" max="12829" width="12.28515625" style="1" customWidth="1"/>
    <col min="12830" max="12830" width="14.5703125" style="1" bestFit="1" customWidth="1"/>
    <col min="12831" max="12831" width="9.28515625" style="1" bestFit="1" customWidth="1"/>
    <col min="12832" max="12832" width="9.140625" style="1"/>
    <col min="12833" max="12840" width="9.28515625" style="1" bestFit="1" customWidth="1"/>
    <col min="12841" max="13058" width="9.140625" style="1"/>
    <col min="13059" max="13059" width="5.5703125" style="1" bestFit="1" customWidth="1"/>
    <col min="13060" max="13060" width="34.140625" style="1" customWidth="1"/>
    <col min="13061" max="13061" width="35.5703125" style="1" customWidth="1"/>
    <col min="13062" max="13062" width="10.42578125" style="1" customWidth="1"/>
    <col min="13063" max="13063" width="9.140625" style="1"/>
    <col min="13064" max="13064" width="10.5703125" style="1" bestFit="1" customWidth="1"/>
    <col min="13065" max="13065" width="9.28515625" style="1" bestFit="1" customWidth="1"/>
    <col min="13066" max="13066" width="10.42578125" style="1" customWidth="1"/>
    <col min="13067" max="13069" width="9.28515625" style="1" bestFit="1" customWidth="1"/>
    <col min="13070" max="13070" width="10.5703125" style="1" bestFit="1" customWidth="1"/>
    <col min="13071" max="13071" width="10.42578125" style="1" customWidth="1"/>
    <col min="13072" max="13072" width="16.85546875" style="1" bestFit="1" customWidth="1"/>
    <col min="13073" max="13075" width="9.28515625" style="1" bestFit="1" customWidth="1"/>
    <col min="13076" max="13076" width="10.5703125" style="1" bestFit="1" customWidth="1"/>
    <col min="13077" max="13081" width="9.28515625" style="1" bestFit="1" customWidth="1"/>
    <col min="13082" max="13082" width="12.5703125" style="1" customWidth="1"/>
    <col min="13083" max="13083" width="12" style="1" customWidth="1"/>
    <col min="13084" max="13084" width="11.140625" style="1" customWidth="1"/>
    <col min="13085" max="13085" width="12.28515625" style="1" customWidth="1"/>
    <col min="13086" max="13086" width="14.5703125" style="1" bestFit="1" customWidth="1"/>
    <col min="13087" max="13087" width="9.28515625" style="1" bestFit="1" customWidth="1"/>
    <col min="13088" max="13088" width="9.140625" style="1"/>
    <col min="13089" max="13096" width="9.28515625" style="1" bestFit="1" customWidth="1"/>
    <col min="13097" max="13314" width="9.140625" style="1"/>
    <col min="13315" max="13315" width="5.5703125" style="1" bestFit="1" customWidth="1"/>
    <col min="13316" max="13316" width="34.140625" style="1" customWidth="1"/>
    <col min="13317" max="13317" width="35.5703125" style="1" customWidth="1"/>
    <col min="13318" max="13318" width="10.42578125" style="1" customWidth="1"/>
    <col min="13319" max="13319" width="9.140625" style="1"/>
    <col min="13320" max="13320" width="10.5703125" style="1" bestFit="1" customWidth="1"/>
    <col min="13321" max="13321" width="9.28515625" style="1" bestFit="1" customWidth="1"/>
    <col min="13322" max="13322" width="10.42578125" style="1" customWidth="1"/>
    <col min="13323" max="13325" width="9.28515625" style="1" bestFit="1" customWidth="1"/>
    <col min="13326" max="13326" width="10.5703125" style="1" bestFit="1" customWidth="1"/>
    <col min="13327" max="13327" width="10.42578125" style="1" customWidth="1"/>
    <col min="13328" max="13328" width="16.85546875" style="1" bestFit="1" customWidth="1"/>
    <col min="13329" max="13331" width="9.28515625" style="1" bestFit="1" customWidth="1"/>
    <col min="13332" max="13332" width="10.5703125" style="1" bestFit="1" customWidth="1"/>
    <col min="13333" max="13337" width="9.28515625" style="1" bestFit="1" customWidth="1"/>
    <col min="13338" max="13338" width="12.5703125" style="1" customWidth="1"/>
    <col min="13339" max="13339" width="12" style="1" customWidth="1"/>
    <col min="13340" max="13340" width="11.140625" style="1" customWidth="1"/>
    <col min="13341" max="13341" width="12.28515625" style="1" customWidth="1"/>
    <col min="13342" max="13342" width="14.5703125" style="1" bestFit="1" customWidth="1"/>
    <col min="13343" max="13343" width="9.28515625" style="1" bestFit="1" customWidth="1"/>
    <col min="13344" max="13344" width="9.140625" style="1"/>
    <col min="13345" max="13352" width="9.28515625" style="1" bestFit="1" customWidth="1"/>
    <col min="13353" max="13570" width="9.140625" style="1"/>
    <col min="13571" max="13571" width="5.5703125" style="1" bestFit="1" customWidth="1"/>
    <col min="13572" max="13572" width="34.140625" style="1" customWidth="1"/>
    <col min="13573" max="13573" width="35.5703125" style="1" customWidth="1"/>
    <col min="13574" max="13574" width="10.42578125" style="1" customWidth="1"/>
    <col min="13575" max="13575" width="9.140625" style="1"/>
    <col min="13576" max="13576" width="10.5703125" style="1" bestFit="1" customWidth="1"/>
    <col min="13577" max="13577" width="9.28515625" style="1" bestFit="1" customWidth="1"/>
    <col min="13578" max="13578" width="10.42578125" style="1" customWidth="1"/>
    <col min="13579" max="13581" width="9.28515625" style="1" bestFit="1" customWidth="1"/>
    <col min="13582" max="13582" width="10.5703125" style="1" bestFit="1" customWidth="1"/>
    <col min="13583" max="13583" width="10.42578125" style="1" customWidth="1"/>
    <col min="13584" max="13584" width="16.85546875" style="1" bestFit="1" customWidth="1"/>
    <col min="13585" max="13587" width="9.28515625" style="1" bestFit="1" customWidth="1"/>
    <col min="13588" max="13588" width="10.5703125" style="1" bestFit="1" customWidth="1"/>
    <col min="13589" max="13593" width="9.28515625" style="1" bestFit="1" customWidth="1"/>
    <col min="13594" max="13594" width="12.5703125" style="1" customWidth="1"/>
    <col min="13595" max="13595" width="12" style="1" customWidth="1"/>
    <col min="13596" max="13596" width="11.140625" style="1" customWidth="1"/>
    <col min="13597" max="13597" width="12.28515625" style="1" customWidth="1"/>
    <col min="13598" max="13598" width="14.5703125" style="1" bestFit="1" customWidth="1"/>
    <col min="13599" max="13599" width="9.28515625" style="1" bestFit="1" customWidth="1"/>
    <col min="13600" max="13600" width="9.140625" style="1"/>
    <col min="13601" max="13608" width="9.28515625" style="1" bestFit="1" customWidth="1"/>
    <col min="13609" max="13826" width="9.140625" style="1"/>
    <col min="13827" max="13827" width="5.5703125" style="1" bestFit="1" customWidth="1"/>
    <col min="13828" max="13828" width="34.140625" style="1" customWidth="1"/>
    <col min="13829" max="13829" width="35.5703125" style="1" customWidth="1"/>
    <col min="13830" max="13830" width="10.42578125" style="1" customWidth="1"/>
    <col min="13831" max="13831" width="9.140625" style="1"/>
    <col min="13832" max="13832" width="10.5703125" style="1" bestFit="1" customWidth="1"/>
    <col min="13833" max="13833" width="9.28515625" style="1" bestFit="1" customWidth="1"/>
    <col min="13834" max="13834" width="10.42578125" style="1" customWidth="1"/>
    <col min="13835" max="13837" width="9.28515625" style="1" bestFit="1" customWidth="1"/>
    <col min="13838" max="13838" width="10.5703125" style="1" bestFit="1" customWidth="1"/>
    <col min="13839" max="13839" width="10.42578125" style="1" customWidth="1"/>
    <col min="13840" max="13840" width="16.85546875" style="1" bestFit="1" customWidth="1"/>
    <col min="13841" max="13843" width="9.28515625" style="1" bestFit="1" customWidth="1"/>
    <col min="13844" max="13844" width="10.5703125" style="1" bestFit="1" customWidth="1"/>
    <col min="13845" max="13849" width="9.28515625" style="1" bestFit="1" customWidth="1"/>
    <col min="13850" max="13850" width="12.5703125" style="1" customWidth="1"/>
    <col min="13851" max="13851" width="12" style="1" customWidth="1"/>
    <col min="13852" max="13852" width="11.140625" style="1" customWidth="1"/>
    <col min="13853" max="13853" width="12.28515625" style="1" customWidth="1"/>
    <col min="13854" max="13854" width="14.5703125" style="1" bestFit="1" customWidth="1"/>
    <col min="13855" max="13855" width="9.28515625" style="1" bestFit="1" customWidth="1"/>
    <col min="13856" max="13856" width="9.140625" style="1"/>
    <col min="13857" max="13864" width="9.28515625" style="1" bestFit="1" customWidth="1"/>
    <col min="13865" max="14082" width="9.140625" style="1"/>
    <col min="14083" max="14083" width="5.5703125" style="1" bestFit="1" customWidth="1"/>
    <col min="14084" max="14084" width="34.140625" style="1" customWidth="1"/>
    <col min="14085" max="14085" width="35.5703125" style="1" customWidth="1"/>
    <col min="14086" max="14086" width="10.42578125" style="1" customWidth="1"/>
    <col min="14087" max="14087" width="9.140625" style="1"/>
    <col min="14088" max="14088" width="10.5703125" style="1" bestFit="1" customWidth="1"/>
    <col min="14089" max="14089" width="9.28515625" style="1" bestFit="1" customWidth="1"/>
    <col min="14090" max="14090" width="10.42578125" style="1" customWidth="1"/>
    <col min="14091" max="14093" width="9.28515625" style="1" bestFit="1" customWidth="1"/>
    <col min="14094" max="14094" width="10.5703125" style="1" bestFit="1" customWidth="1"/>
    <col min="14095" max="14095" width="10.42578125" style="1" customWidth="1"/>
    <col min="14096" max="14096" width="16.85546875" style="1" bestFit="1" customWidth="1"/>
    <col min="14097" max="14099" width="9.28515625" style="1" bestFit="1" customWidth="1"/>
    <col min="14100" max="14100" width="10.5703125" style="1" bestFit="1" customWidth="1"/>
    <col min="14101" max="14105" width="9.28515625" style="1" bestFit="1" customWidth="1"/>
    <col min="14106" max="14106" width="12.5703125" style="1" customWidth="1"/>
    <col min="14107" max="14107" width="12" style="1" customWidth="1"/>
    <col min="14108" max="14108" width="11.140625" style="1" customWidth="1"/>
    <col min="14109" max="14109" width="12.28515625" style="1" customWidth="1"/>
    <col min="14110" max="14110" width="14.5703125" style="1" bestFit="1" customWidth="1"/>
    <col min="14111" max="14111" width="9.28515625" style="1" bestFit="1" customWidth="1"/>
    <col min="14112" max="14112" width="9.140625" style="1"/>
    <col min="14113" max="14120" width="9.28515625" style="1" bestFit="1" customWidth="1"/>
    <col min="14121" max="14338" width="9.140625" style="1"/>
    <col min="14339" max="14339" width="5.5703125" style="1" bestFit="1" customWidth="1"/>
    <col min="14340" max="14340" width="34.140625" style="1" customWidth="1"/>
    <col min="14341" max="14341" width="35.5703125" style="1" customWidth="1"/>
    <col min="14342" max="14342" width="10.42578125" style="1" customWidth="1"/>
    <col min="14343" max="14343" width="9.140625" style="1"/>
    <col min="14344" max="14344" width="10.5703125" style="1" bestFit="1" customWidth="1"/>
    <col min="14345" max="14345" width="9.28515625" style="1" bestFit="1" customWidth="1"/>
    <col min="14346" max="14346" width="10.42578125" style="1" customWidth="1"/>
    <col min="14347" max="14349" width="9.28515625" style="1" bestFit="1" customWidth="1"/>
    <col min="14350" max="14350" width="10.5703125" style="1" bestFit="1" customWidth="1"/>
    <col min="14351" max="14351" width="10.42578125" style="1" customWidth="1"/>
    <col min="14352" max="14352" width="16.85546875" style="1" bestFit="1" customWidth="1"/>
    <col min="14353" max="14355" width="9.28515625" style="1" bestFit="1" customWidth="1"/>
    <col min="14356" max="14356" width="10.5703125" style="1" bestFit="1" customWidth="1"/>
    <col min="14357" max="14361" width="9.28515625" style="1" bestFit="1" customWidth="1"/>
    <col min="14362" max="14362" width="12.5703125" style="1" customWidth="1"/>
    <col min="14363" max="14363" width="12" style="1" customWidth="1"/>
    <col min="14364" max="14364" width="11.140625" style="1" customWidth="1"/>
    <col min="14365" max="14365" width="12.28515625" style="1" customWidth="1"/>
    <col min="14366" max="14366" width="14.5703125" style="1" bestFit="1" customWidth="1"/>
    <col min="14367" max="14367" width="9.28515625" style="1" bestFit="1" customWidth="1"/>
    <col min="14368" max="14368" width="9.140625" style="1"/>
    <col min="14369" max="14376" width="9.28515625" style="1" bestFit="1" customWidth="1"/>
    <col min="14377" max="14594" width="9.140625" style="1"/>
    <col min="14595" max="14595" width="5.5703125" style="1" bestFit="1" customWidth="1"/>
    <col min="14596" max="14596" width="34.140625" style="1" customWidth="1"/>
    <col min="14597" max="14597" width="35.5703125" style="1" customWidth="1"/>
    <col min="14598" max="14598" width="10.42578125" style="1" customWidth="1"/>
    <col min="14599" max="14599" width="9.140625" style="1"/>
    <col min="14600" max="14600" width="10.5703125" style="1" bestFit="1" customWidth="1"/>
    <col min="14601" max="14601" width="9.28515625" style="1" bestFit="1" customWidth="1"/>
    <col min="14602" max="14602" width="10.42578125" style="1" customWidth="1"/>
    <col min="14603" max="14605" width="9.28515625" style="1" bestFit="1" customWidth="1"/>
    <col min="14606" max="14606" width="10.5703125" style="1" bestFit="1" customWidth="1"/>
    <col min="14607" max="14607" width="10.42578125" style="1" customWidth="1"/>
    <col min="14608" max="14608" width="16.85546875" style="1" bestFit="1" customWidth="1"/>
    <col min="14609" max="14611" width="9.28515625" style="1" bestFit="1" customWidth="1"/>
    <col min="14612" max="14612" width="10.5703125" style="1" bestFit="1" customWidth="1"/>
    <col min="14613" max="14617" width="9.28515625" style="1" bestFit="1" customWidth="1"/>
    <col min="14618" max="14618" width="12.5703125" style="1" customWidth="1"/>
    <col min="14619" max="14619" width="12" style="1" customWidth="1"/>
    <col min="14620" max="14620" width="11.140625" style="1" customWidth="1"/>
    <col min="14621" max="14621" width="12.28515625" style="1" customWidth="1"/>
    <col min="14622" max="14622" width="14.5703125" style="1" bestFit="1" customWidth="1"/>
    <col min="14623" max="14623" width="9.28515625" style="1" bestFit="1" customWidth="1"/>
    <col min="14624" max="14624" width="9.140625" style="1"/>
    <col min="14625" max="14632" width="9.28515625" style="1" bestFit="1" customWidth="1"/>
    <col min="14633" max="14850" width="9.140625" style="1"/>
    <col min="14851" max="14851" width="5.5703125" style="1" bestFit="1" customWidth="1"/>
    <col min="14852" max="14852" width="34.140625" style="1" customWidth="1"/>
    <col min="14853" max="14853" width="35.5703125" style="1" customWidth="1"/>
    <col min="14854" max="14854" width="10.42578125" style="1" customWidth="1"/>
    <col min="14855" max="14855" width="9.140625" style="1"/>
    <col min="14856" max="14856" width="10.5703125" style="1" bestFit="1" customWidth="1"/>
    <col min="14857" max="14857" width="9.28515625" style="1" bestFit="1" customWidth="1"/>
    <col min="14858" max="14858" width="10.42578125" style="1" customWidth="1"/>
    <col min="14859" max="14861" width="9.28515625" style="1" bestFit="1" customWidth="1"/>
    <col min="14862" max="14862" width="10.5703125" style="1" bestFit="1" customWidth="1"/>
    <col min="14863" max="14863" width="10.42578125" style="1" customWidth="1"/>
    <col min="14864" max="14864" width="16.85546875" style="1" bestFit="1" customWidth="1"/>
    <col min="14865" max="14867" width="9.28515625" style="1" bestFit="1" customWidth="1"/>
    <col min="14868" max="14868" width="10.5703125" style="1" bestFit="1" customWidth="1"/>
    <col min="14869" max="14873" width="9.28515625" style="1" bestFit="1" customWidth="1"/>
    <col min="14874" max="14874" width="12.5703125" style="1" customWidth="1"/>
    <col min="14875" max="14875" width="12" style="1" customWidth="1"/>
    <col min="14876" max="14876" width="11.140625" style="1" customWidth="1"/>
    <col min="14877" max="14877" width="12.28515625" style="1" customWidth="1"/>
    <col min="14878" max="14878" width="14.5703125" style="1" bestFit="1" customWidth="1"/>
    <col min="14879" max="14879" width="9.28515625" style="1" bestFit="1" customWidth="1"/>
    <col min="14880" max="14880" width="9.140625" style="1"/>
    <col min="14881" max="14888" width="9.28515625" style="1" bestFit="1" customWidth="1"/>
    <col min="14889" max="15106" width="9.140625" style="1"/>
    <col min="15107" max="15107" width="5.5703125" style="1" bestFit="1" customWidth="1"/>
    <col min="15108" max="15108" width="34.140625" style="1" customWidth="1"/>
    <col min="15109" max="15109" width="35.5703125" style="1" customWidth="1"/>
    <col min="15110" max="15110" width="10.42578125" style="1" customWidth="1"/>
    <col min="15111" max="15111" width="9.140625" style="1"/>
    <col min="15112" max="15112" width="10.5703125" style="1" bestFit="1" customWidth="1"/>
    <col min="15113" max="15113" width="9.28515625" style="1" bestFit="1" customWidth="1"/>
    <col min="15114" max="15114" width="10.42578125" style="1" customWidth="1"/>
    <col min="15115" max="15117" width="9.28515625" style="1" bestFit="1" customWidth="1"/>
    <col min="15118" max="15118" width="10.5703125" style="1" bestFit="1" customWidth="1"/>
    <col min="15119" max="15119" width="10.42578125" style="1" customWidth="1"/>
    <col min="15120" max="15120" width="16.85546875" style="1" bestFit="1" customWidth="1"/>
    <col min="15121" max="15123" width="9.28515625" style="1" bestFit="1" customWidth="1"/>
    <col min="15124" max="15124" width="10.5703125" style="1" bestFit="1" customWidth="1"/>
    <col min="15125" max="15129" width="9.28515625" style="1" bestFit="1" customWidth="1"/>
    <col min="15130" max="15130" width="12.5703125" style="1" customWidth="1"/>
    <col min="15131" max="15131" width="12" style="1" customWidth="1"/>
    <col min="15132" max="15132" width="11.140625" style="1" customWidth="1"/>
    <col min="15133" max="15133" width="12.28515625" style="1" customWidth="1"/>
    <col min="15134" max="15134" width="14.5703125" style="1" bestFit="1" customWidth="1"/>
    <col min="15135" max="15135" width="9.28515625" style="1" bestFit="1" customWidth="1"/>
    <col min="15136" max="15136" width="9.140625" style="1"/>
    <col min="15137" max="15144" width="9.28515625" style="1" bestFit="1" customWidth="1"/>
    <col min="15145" max="15362" width="9.140625" style="1"/>
    <col min="15363" max="15363" width="5.5703125" style="1" bestFit="1" customWidth="1"/>
    <col min="15364" max="15364" width="34.140625" style="1" customWidth="1"/>
    <col min="15365" max="15365" width="35.5703125" style="1" customWidth="1"/>
    <col min="15366" max="15366" width="10.42578125" style="1" customWidth="1"/>
    <col min="15367" max="15367" width="9.140625" style="1"/>
    <col min="15368" max="15368" width="10.5703125" style="1" bestFit="1" customWidth="1"/>
    <col min="15369" max="15369" width="9.28515625" style="1" bestFit="1" customWidth="1"/>
    <col min="15370" max="15370" width="10.42578125" style="1" customWidth="1"/>
    <col min="15371" max="15373" width="9.28515625" style="1" bestFit="1" customWidth="1"/>
    <col min="15374" max="15374" width="10.5703125" style="1" bestFit="1" customWidth="1"/>
    <col min="15375" max="15375" width="10.42578125" style="1" customWidth="1"/>
    <col min="15376" max="15376" width="16.85546875" style="1" bestFit="1" customWidth="1"/>
    <col min="15377" max="15379" width="9.28515625" style="1" bestFit="1" customWidth="1"/>
    <col min="15380" max="15380" width="10.5703125" style="1" bestFit="1" customWidth="1"/>
    <col min="15381" max="15385" width="9.28515625" style="1" bestFit="1" customWidth="1"/>
    <col min="15386" max="15386" width="12.5703125" style="1" customWidth="1"/>
    <col min="15387" max="15387" width="12" style="1" customWidth="1"/>
    <col min="15388" max="15388" width="11.140625" style="1" customWidth="1"/>
    <col min="15389" max="15389" width="12.28515625" style="1" customWidth="1"/>
    <col min="15390" max="15390" width="14.5703125" style="1" bestFit="1" customWidth="1"/>
    <col min="15391" max="15391" width="9.28515625" style="1" bestFit="1" customWidth="1"/>
    <col min="15392" max="15392" width="9.140625" style="1"/>
    <col min="15393" max="15400" width="9.28515625" style="1" bestFit="1" customWidth="1"/>
    <col min="15401" max="15618" width="9.140625" style="1"/>
    <col min="15619" max="15619" width="5.5703125" style="1" bestFit="1" customWidth="1"/>
    <col min="15620" max="15620" width="34.140625" style="1" customWidth="1"/>
    <col min="15621" max="15621" width="35.5703125" style="1" customWidth="1"/>
    <col min="15622" max="15622" width="10.42578125" style="1" customWidth="1"/>
    <col min="15623" max="15623" width="9.140625" style="1"/>
    <col min="15624" max="15624" width="10.5703125" style="1" bestFit="1" customWidth="1"/>
    <col min="15625" max="15625" width="9.28515625" style="1" bestFit="1" customWidth="1"/>
    <col min="15626" max="15626" width="10.42578125" style="1" customWidth="1"/>
    <col min="15627" max="15629" width="9.28515625" style="1" bestFit="1" customWidth="1"/>
    <col min="15630" max="15630" width="10.5703125" style="1" bestFit="1" customWidth="1"/>
    <col min="15631" max="15631" width="10.42578125" style="1" customWidth="1"/>
    <col min="15632" max="15632" width="16.85546875" style="1" bestFit="1" customWidth="1"/>
    <col min="15633" max="15635" width="9.28515625" style="1" bestFit="1" customWidth="1"/>
    <col min="15636" max="15636" width="10.5703125" style="1" bestFit="1" customWidth="1"/>
    <col min="15637" max="15641" width="9.28515625" style="1" bestFit="1" customWidth="1"/>
    <col min="15642" max="15642" width="12.5703125" style="1" customWidth="1"/>
    <col min="15643" max="15643" width="12" style="1" customWidth="1"/>
    <col min="15644" max="15644" width="11.140625" style="1" customWidth="1"/>
    <col min="15645" max="15645" width="12.28515625" style="1" customWidth="1"/>
    <col min="15646" max="15646" width="14.5703125" style="1" bestFit="1" customWidth="1"/>
    <col min="15647" max="15647" width="9.28515625" style="1" bestFit="1" customWidth="1"/>
    <col min="15648" max="15648" width="9.140625" style="1"/>
    <col min="15649" max="15656" width="9.28515625" style="1" bestFit="1" customWidth="1"/>
    <col min="15657" max="15874" width="9.140625" style="1"/>
    <col min="15875" max="15875" width="5.5703125" style="1" bestFit="1" customWidth="1"/>
    <col min="15876" max="15876" width="34.140625" style="1" customWidth="1"/>
    <col min="15877" max="15877" width="35.5703125" style="1" customWidth="1"/>
    <col min="15878" max="15878" width="10.42578125" style="1" customWidth="1"/>
    <col min="15879" max="15879" width="9.140625" style="1"/>
    <col min="15880" max="15880" width="10.5703125" style="1" bestFit="1" customWidth="1"/>
    <col min="15881" max="15881" width="9.28515625" style="1" bestFit="1" customWidth="1"/>
    <col min="15882" max="15882" width="10.42578125" style="1" customWidth="1"/>
    <col min="15883" max="15885" width="9.28515625" style="1" bestFit="1" customWidth="1"/>
    <col min="15886" max="15886" width="10.5703125" style="1" bestFit="1" customWidth="1"/>
    <col min="15887" max="15887" width="10.42578125" style="1" customWidth="1"/>
    <col min="15888" max="15888" width="16.85546875" style="1" bestFit="1" customWidth="1"/>
    <col min="15889" max="15891" width="9.28515625" style="1" bestFit="1" customWidth="1"/>
    <col min="15892" max="15892" width="10.5703125" style="1" bestFit="1" customWidth="1"/>
    <col min="15893" max="15897" width="9.28515625" style="1" bestFit="1" customWidth="1"/>
    <col min="15898" max="15898" width="12.5703125" style="1" customWidth="1"/>
    <col min="15899" max="15899" width="12" style="1" customWidth="1"/>
    <col min="15900" max="15900" width="11.140625" style="1" customWidth="1"/>
    <col min="15901" max="15901" width="12.28515625" style="1" customWidth="1"/>
    <col min="15902" max="15902" width="14.5703125" style="1" bestFit="1" customWidth="1"/>
    <col min="15903" max="15903" width="9.28515625" style="1" bestFit="1" customWidth="1"/>
    <col min="15904" max="15904" width="9.140625" style="1"/>
    <col min="15905" max="15912" width="9.28515625" style="1" bestFit="1" customWidth="1"/>
    <col min="15913" max="16130" width="9.140625" style="1"/>
    <col min="16131" max="16131" width="5.5703125" style="1" bestFit="1" customWidth="1"/>
    <col min="16132" max="16132" width="34.140625" style="1" customWidth="1"/>
    <col min="16133" max="16133" width="35.5703125" style="1" customWidth="1"/>
    <col min="16134" max="16134" width="10.42578125" style="1" customWidth="1"/>
    <col min="16135" max="16135" width="9.140625" style="1"/>
    <col min="16136" max="16136" width="10.5703125" style="1" bestFit="1" customWidth="1"/>
    <col min="16137" max="16137" width="9.28515625" style="1" bestFit="1" customWidth="1"/>
    <col min="16138" max="16138" width="10.42578125" style="1" customWidth="1"/>
    <col min="16139" max="16141" width="9.28515625" style="1" bestFit="1" customWidth="1"/>
    <col min="16142" max="16142" width="10.5703125" style="1" bestFit="1" customWidth="1"/>
    <col min="16143" max="16143" width="10.42578125" style="1" customWidth="1"/>
    <col min="16144" max="16144" width="16.85546875" style="1" bestFit="1" customWidth="1"/>
    <col min="16145" max="16147" width="9.28515625" style="1" bestFit="1" customWidth="1"/>
    <col min="16148" max="16148" width="10.5703125" style="1" bestFit="1" customWidth="1"/>
    <col min="16149" max="16153" width="9.28515625" style="1" bestFit="1" customWidth="1"/>
    <col min="16154" max="16154" width="12.5703125" style="1" customWidth="1"/>
    <col min="16155" max="16155" width="12" style="1" customWidth="1"/>
    <col min="16156" max="16156" width="11.140625" style="1" customWidth="1"/>
    <col min="16157" max="16157" width="12.28515625" style="1" customWidth="1"/>
    <col min="16158" max="16158" width="14.5703125" style="1" bestFit="1" customWidth="1"/>
    <col min="16159" max="16159" width="9.28515625" style="1" bestFit="1" customWidth="1"/>
    <col min="16160" max="16160" width="9.140625" style="1"/>
    <col min="16161" max="16168" width="9.28515625" style="1" bestFit="1" customWidth="1"/>
    <col min="16169" max="16384" width="9.140625" style="1"/>
  </cols>
  <sheetData>
    <row r="1" spans="1:258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6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</row>
    <row r="2" spans="1:258" ht="15.75" x14ac:dyDescent="0.25">
      <c r="A2" s="3"/>
      <c r="B2" s="3"/>
      <c r="C2" s="3"/>
      <c r="D2" s="3"/>
      <c r="E2" s="3"/>
      <c r="F2" s="31" t="s">
        <v>1</v>
      </c>
      <c r="G2" s="32"/>
      <c r="H2" s="32"/>
      <c r="I2" s="32"/>
      <c r="J2" s="32"/>
      <c r="K2" s="32"/>
      <c r="L2" s="33"/>
      <c r="M2" s="31" t="s">
        <v>2</v>
      </c>
      <c r="N2" s="32"/>
      <c r="O2" s="32"/>
      <c r="P2" s="32"/>
      <c r="Q2" s="32"/>
      <c r="R2" s="33"/>
      <c r="S2" s="25"/>
      <c r="T2" s="31" t="s">
        <v>3</v>
      </c>
      <c r="U2" s="32"/>
      <c r="V2" s="32"/>
      <c r="W2" s="32"/>
      <c r="X2" s="32"/>
      <c r="Y2" s="33"/>
      <c r="Z2" s="31" t="s">
        <v>4</v>
      </c>
      <c r="AA2" s="32"/>
      <c r="AB2" s="32"/>
      <c r="AC2" s="32"/>
      <c r="AD2" s="32"/>
      <c r="AE2" s="3"/>
      <c r="AF2" s="3"/>
    </row>
    <row r="3" spans="1:258" s="21" customFormat="1" ht="30" x14ac:dyDescent="0.2">
      <c r="A3" s="21" t="s">
        <v>5</v>
      </c>
      <c r="B3" s="21" t="s">
        <v>6</v>
      </c>
      <c r="C3" s="21" t="s">
        <v>7</v>
      </c>
      <c r="D3" s="21" t="s">
        <v>8</v>
      </c>
      <c r="E3" s="21" t="s">
        <v>9</v>
      </c>
      <c r="F3" s="22" t="s">
        <v>10</v>
      </c>
      <c r="G3" s="29" t="s">
        <v>95</v>
      </c>
      <c r="H3" s="21" t="s">
        <v>11</v>
      </c>
      <c r="I3" s="23" t="s">
        <v>12</v>
      </c>
      <c r="J3" s="23" t="s">
        <v>13</v>
      </c>
      <c r="K3" s="23" t="s">
        <v>14</v>
      </c>
      <c r="L3" s="23" t="s">
        <v>15</v>
      </c>
      <c r="M3" s="22" t="s">
        <v>10</v>
      </c>
      <c r="N3" s="21" t="s">
        <v>11</v>
      </c>
      <c r="O3" s="23" t="s">
        <v>16</v>
      </c>
      <c r="P3" s="21" t="s">
        <v>17</v>
      </c>
      <c r="Q3" s="21" t="s">
        <v>18</v>
      </c>
      <c r="R3" s="24" t="s">
        <v>19</v>
      </c>
      <c r="S3" s="22" t="s">
        <v>20</v>
      </c>
      <c r="T3" s="21" t="s">
        <v>21</v>
      </c>
      <c r="U3" s="23" t="s">
        <v>22</v>
      </c>
      <c r="V3" s="21" t="s">
        <v>23</v>
      </c>
      <c r="W3" s="21" t="s">
        <v>24</v>
      </c>
      <c r="X3" s="24" t="s">
        <v>25</v>
      </c>
      <c r="Y3" s="21" t="s">
        <v>26</v>
      </c>
      <c r="Z3" s="21" t="s">
        <v>27</v>
      </c>
      <c r="AA3" s="21" t="s">
        <v>28</v>
      </c>
      <c r="AB3" s="21" t="s">
        <v>29</v>
      </c>
      <c r="AC3" s="21" t="s">
        <v>30</v>
      </c>
      <c r="AD3" s="21" t="s">
        <v>31</v>
      </c>
    </row>
    <row r="4" spans="1:258" ht="16.5" customHeight="1" x14ac:dyDescent="0.25">
      <c r="B4" s="20" t="s">
        <v>32</v>
      </c>
      <c r="L4" s="1"/>
    </row>
    <row r="5" spans="1:258" s="9" customFormat="1" x14ac:dyDescent="0.2">
      <c r="A5" s="9">
        <v>1</v>
      </c>
      <c r="B5" s="9" t="s">
        <v>33</v>
      </c>
      <c r="D5" s="9" t="s">
        <v>34</v>
      </c>
      <c r="E5" s="9" t="s">
        <v>35</v>
      </c>
      <c r="F5" s="10">
        <v>3500</v>
      </c>
      <c r="H5" s="9">
        <f>F5/4</f>
        <v>875</v>
      </c>
      <c r="I5" s="11">
        <v>1</v>
      </c>
      <c r="J5" s="9">
        <v>1</v>
      </c>
      <c r="K5" s="9">
        <v>1</v>
      </c>
      <c r="L5" s="12">
        <v>1</v>
      </c>
      <c r="M5" s="10">
        <v>0</v>
      </c>
      <c r="N5" s="9">
        <f t="shared" ref="N5:N13" si="0">M5/4</f>
        <v>0</v>
      </c>
      <c r="O5" s="11">
        <v>0</v>
      </c>
      <c r="P5" s="9">
        <v>0</v>
      </c>
      <c r="Q5" s="9">
        <v>0</v>
      </c>
      <c r="R5" s="12">
        <v>0</v>
      </c>
      <c r="S5" s="10">
        <v>1850</v>
      </c>
      <c r="T5" s="9">
        <f t="shared" ref="T5:T31" si="1">S5/4</f>
        <v>462.5</v>
      </c>
      <c r="U5" s="11">
        <f>11+1</f>
        <v>12</v>
      </c>
      <c r="V5" s="11">
        <f>11+1</f>
        <v>12</v>
      </c>
      <c r="W5" s="11">
        <f>11+1</f>
        <v>12</v>
      </c>
      <c r="X5" s="11">
        <f>11+1</f>
        <v>12</v>
      </c>
      <c r="Y5" s="13">
        <f t="shared" ref="Y5:Y31" si="2">T5*U5</f>
        <v>5550</v>
      </c>
      <c r="Z5" s="13">
        <f t="shared" ref="Z5:Z31" si="3">T5*V5</f>
        <v>5550</v>
      </c>
      <c r="AA5" s="13">
        <f t="shared" ref="AA5:AA31" si="4">T5*W5</f>
        <v>5550</v>
      </c>
      <c r="AB5" s="13">
        <f t="shared" ref="AB5:AB31" si="5">T5*X5</f>
        <v>5550</v>
      </c>
      <c r="AC5" s="14">
        <f t="shared" ref="AC5:AC31" si="6">Y5+Z5+AA5+AB5</f>
        <v>22200</v>
      </c>
      <c r="AD5" s="14">
        <f t="shared" ref="AD5:AD31" si="7">SUM(Y5:AB5)</f>
        <v>22200</v>
      </c>
    </row>
    <row r="6" spans="1:258" s="9" customFormat="1" ht="15" customHeight="1" x14ac:dyDescent="0.2">
      <c r="A6" s="9">
        <v>2</v>
      </c>
      <c r="B6" s="9" t="s">
        <v>36</v>
      </c>
      <c r="D6" s="9" t="s">
        <v>34</v>
      </c>
      <c r="E6" s="9" t="s">
        <v>35</v>
      </c>
      <c r="F6" s="10">
        <v>3500</v>
      </c>
      <c r="H6" s="9">
        <f>F6/4</f>
        <v>875</v>
      </c>
      <c r="I6" s="11">
        <v>1</v>
      </c>
      <c r="J6" s="9">
        <v>1</v>
      </c>
      <c r="K6" s="9">
        <v>1</v>
      </c>
      <c r="L6" s="12">
        <v>1</v>
      </c>
      <c r="M6" s="10">
        <v>0</v>
      </c>
      <c r="N6" s="9">
        <f t="shared" si="0"/>
        <v>0</v>
      </c>
      <c r="O6" s="11">
        <v>0</v>
      </c>
      <c r="P6" s="9">
        <v>0</v>
      </c>
      <c r="Q6" s="9">
        <v>0</v>
      </c>
      <c r="R6" s="12">
        <v>0</v>
      </c>
      <c r="S6" s="10">
        <v>2100</v>
      </c>
      <c r="T6" s="9">
        <f t="shared" si="1"/>
        <v>525</v>
      </c>
      <c r="U6" s="11">
        <f>5+2</f>
        <v>7</v>
      </c>
      <c r="V6" s="11">
        <f>5+2</f>
        <v>7</v>
      </c>
      <c r="W6" s="11">
        <f>5+2</f>
        <v>7</v>
      </c>
      <c r="X6" s="11">
        <f>5+2</f>
        <v>7</v>
      </c>
      <c r="Y6" s="13">
        <f t="shared" si="2"/>
        <v>3675</v>
      </c>
      <c r="Z6" s="13">
        <f t="shared" si="3"/>
        <v>3675</v>
      </c>
      <c r="AA6" s="13">
        <f t="shared" si="4"/>
        <v>3675</v>
      </c>
      <c r="AB6" s="13">
        <f t="shared" si="5"/>
        <v>3675</v>
      </c>
      <c r="AC6" s="14">
        <f t="shared" si="6"/>
        <v>14700</v>
      </c>
      <c r="AD6" s="14">
        <f t="shared" si="7"/>
        <v>14700</v>
      </c>
    </row>
    <row r="7" spans="1:258" s="9" customFormat="1" x14ac:dyDescent="0.2">
      <c r="A7" s="9">
        <v>3</v>
      </c>
      <c r="B7" s="9" t="s">
        <v>37</v>
      </c>
      <c r="D7" s="9" t="s">
        <v>34</v>
      </c>
      <c r="E7" s="9" t="s">
        <v>38</v>
      </c>
      <c r="F7" s="10">
        <v>3500</v>
      </c>
      <c r="H7" s="9">
        <f>F7/4</f>
        <v>875</v>
      </c>
      <c r="I7" s="11">
        <v>1</v>
      </c>
      <c r="J7" s="9">
        <v>1</v>
      </c>
      <c r="K7" s="9">
        <v>1</v>
      </c>
      <c r="L7" s="12">
        <v>1</v>
      </c>
      <c r="M7" s="10">
        <v>0</v>
      </c>
      <c r="N7" s="9">
        <f t="shared" si="0"/>
        <v>0</v>
      </c>
      <c r="O7" s="11">
        <v>0</v>
      </c>
      <c r="P7" s="9">
        <v>0</v>
      </c>
      <c r="Q7" s="9">
        <v>0</v>
      </c>
      <c r="R7" s="12">
        <v>0</v>
      </c>
      <c r="S7" s="10">
        <v>1750</v>
      </c>
      <c r="T7" s="9">
        <f t="shared" si="1"/>
        <v>437.5</v>
      </c>
      <c r="U7" s="11">
        <v>16</v>
      </c>
      <c r="V7" s="9">
        <v>16</v>
      </c>
      <c r="W7" s="9">
        <v>16</v>
      </c>
      <c r="X7" s="12">
        <v>16</v>
      </c>
      <c r="Y7" s="13">
        <f t="shared" si="2"/>
        <v>7000</v>
      </c>
      <c r="Z7" s="13">
        <f t="shared" si="3"/>
        <v>7000</v>
      </c>
      <c r="AA7" s="13">
        <f t="shared" si="4"/>
        <v>7000</v>
      </c>
      <c r="AB7" s="13">
        <f t="shared" si="5"/>
        <v>7000</v>
      </c>
      <c r="AC7" s="14">
        <f t="shared" si="6"/>
        <v>28000</v>
      </c>
      <c r="AD7" s="14">
        <f t="shared" si="7"/>
        <v>28000</v>
      </c>
    </row>
    <row r="8" spans="1:258" s="9" customFormat="1" ht="17.25" customHeight="1" x14ac:dyDescent="0.2">
      <c r="A8" s="9">
        <v>4</v>
      </c>
      <c r="B8" s="9" t="s">
        <v>39</v>
      </c>
      <c r="D8" s="9" t="s">
        <v>34</v>
      </c>
      <c r="E8" s="9" t="s">
        <v>35</v>
      </c>
      <c r="F8" s="10">
        <v>3500</v>
      </c>
      <c r="H8" s="9">
        <f>F8/4</f>
        <v>875</v>
      </c>
      <c r="I8" s="11">
        <v>1</v>
      </c>
      <c r="J8" s="9">
        <v>1</v>
      </c>
      <c r="K8" s="9">
        <v>1</v>
      </c>
      <c r="L8" s="12">
        <v>1</v>
      </c>
      <c r="M8" s="10">
        <v>0</v>
      </c>
      <c r="N8" s="9">
        <f t="shared" si="0"/>
        <v>0</v>
      </c>
      <c r="O8" s="11">
        <v>0</v>
      </c>
      <c r="P8" s="9">
        <v>0</v>
      </c>
      <c r="Q8" s="9">
        <v>0</v>
      </c>
      <c r="R8" s="12">
        <v>0</v>
      </c>
      <c r="S8" s="10">
        <v>1850</v>
      </c>
      <c r="T8" s="9">
        <f t="shared" si="1"/>
        <v>462.5</v>
      </c>
      <c r="U8" s="11">
        <f>51+9</f>
        <v>60</v>
      </c>
      <c r="V8" s="11">
        <f>51+9</f>
        <v>60</v>
      </c>
      <c r="W8" s="11">
        <f>51+9</f>
        <v>60</v>
      </c>
      <c r="X8" s="11">
        <f>51+9</f>
        <v>60</v>
      </c>
      <c r="Y8" s="13">
        <f t="shared" si="2"/>
        <v>27750</v>
      </c>
      <c r="Z8" s="13">
        <f t="shared" si="3"/>
        <v>27750</v>
      </c>
      <c r="AA8" s="13">
        <f t="shared" si="4"/>
        <v>27750</v>
      </c>
      <c r="AB8" s="13">
        <f t="shared" si="5"/>
        <v>27750</v>
      </c>
      <c r="AC8" s="14">
        <f t="shared" si="6"/>
        <v>111000</v>
      </c>
      <c r="AD8" s="14">
        <f t="shared" si="7"/>
        <v>111000</v>
      </c>
    </row>
    <row r="9" spans="1:258" s="9" customFormat="1" ht="15.75" customHeight="1" x14ac:dyDescent="0.2">
      <c r="A9" s="9">
        <v>5</v>
      </c>
      <c r="B9" s="9" t="s">
        <v>40</v>
      </c>
      <c r="D9" s="9" t="s">
        <v>34</v>
      </c>
      <c r="E9" s="9" t="s">
        <v>41</v>
      </c>
      <c r="F9" s="10">
        <v>0</v>
      </c>
      <c r="H9" s="9">
        <v>0</v>
      </c>
      <c r="I9" s="11">
        <v>0</v>
      </c>
      <c r="J9" s="9">
        <v>0</v>
      </c>
      <c r="K9" s="9">
        <v>0</v>
      </c>
      <c r="L9" s="12">
        <v>0</v>
      </c>
      <c r="M9" s="10">
        <v>0</v>
      </c>
      <c r="N9" s="9">
        <f t="shared" si="0"/>
        <v>0</v>
      </c>
      <c r="O9" s="11">
        <v>0</v>
      </c>
      <c r="P9" s="9">
        <v>0</v>
      </c>
      <c r="Q9" s="9">
        <v>0</v>
      </c>
      <c r="R9" s="12">
        <v>0</v>
      </c>
      <c r="S9" s="10">
        <v>1850</v>
      </c>
      <c r="T9" s="9">
        <f t="shared" si="1"/>
        <v>462.5</v>
      </c>
      <c r="U9" s="11">
        <v>6</v>
      </c>
      <c r="V9" s="9">
        <v>6</v>
      </c>
      <c r="W9" s="9">
        <v>6</v>
      </c>
      <c r="X9" s="12">
        <v>6</v>
      </c>
      <c r="Y9" s="13">
        <f t="shared" si="2"/>
        <v>2775</v>
      </c>
      <c r="Z9" s="13">
        <f t="shared" si="3"/>
        <v>2775</v>
      </c>
      <c r="AA9" s="13">
        <f t="shared" si="4"/>
        <v>2775</v>
      </c>
      <c r="AB9" s="13">
        <f t="shared" si="5"/>
        <v>2775</v>
      </c>
      <c r="AC9" s="14">
        <f t="shared" si="6"/>
        <v>11100</v>
      </c>
      <c r="AD9" s="14">
        <f t="shared" si="7"/>
        <v>11100</v>
      </c>
    </row>
    <row r="10" spans="1:258" s="9" customFormat="1" ht="19.5" customHeight="1" x14ac:dyDescent="0.2">
      <c r="A10" s="9">
        <v>6</v>
      </c>
      <c r="B10" s="9" t="s">
        <v>42</v>
      </c>
      <c r="D10" s="9" t="s">
        <v>34</v>
      </c>
      <c r="E10" s="9" t="s">
        <v>38</v>
      </c>
      <c r="F10" s="10">
        <v>3500</v>
      </c>
      <c r="H10" s="9">
        <f>F10/4</f>
        <v>875</v>
      </c>
      <c r="I10" s="11">
        <v>1</v>
      </c>
      <c r="J10" s="9">
        <v>1</v>
      </c>
      <c r="K10" s="9">
        <v>1</v>
      </c>
      <c r="L10" s="12">
        <v>1</v>
      </c>
      <c r="M10" s="10">
        <v>0</v>
      </c>
      <c r="N10" s="9">
        <f t="shared" si="0"/>
        <v>0</v>
      </c>
      <c r="O10" s="11">
        <v>0</v>
      </c>
      <c r="P10" s="9">
        <v>0</v>
      </c>
      <c r="Q10" s="9">
        <v>0</v>
      </c>
      <c r="R10" s="12">
        <v>0</v>
      </c>
      <c r="S10" s="10">
        <v>1550</v>
      </c>
      <c r="T10" s="9">
        <f t="shared" si="1"/>
        <v>387.5</v>
      </c>
      <c r="U10" s="11">
        <v>19</v>
      </c>
      <c r="V10" s="9">
        <v>19</v>
      </c>
      <c r="W10" s="9">
        <v>19</v>
      </c>
      <c r="X10" s="12">
        <v>19</v>
      </c>
      <c r="Y10" s="13">
        <f t="shared" si="2"/>
        <v>7362.5</v>
      </c>
      <c r="Z10" s="13">
        <f t="shared" si="3"/>
        <v>7362.5</v>
      </c>
      <c r="AA10" s="13">
        <f t="shared" si="4"/>
        <v>7362.5</v>
      </c>
      <c r="AB10" s="13">
        <f t="shared" si="5"/>
        <v>7362.5</v>
      </c>
      <c r="AC10" s="14">
        <f t="shared" si="6"/>
        <v>29450</v>
      </c>
      <c r="AD10" s="14">
        <f t="shared" si="7"/>
        <v>29450</v>
      </c>
    </row>
    <row r="11" spans="1:258" s="9" customFormat="1" ht="18.75" customHeight="1" x14ac:dyDescent="0.2">
      <c r="A11" s="9">
        <v>7</v>
      </c>
      <c r="B11" s="9" t="s">
        <v>43</v>
      </c>
      <c r="D11" s="9" t="s">
        <v>34</v>
      </c>
      <c r="E11" s="9" t="s">
        <v>38</v>
      </c>
      <c r="F11" s="10">
        <v>0</v>
      </c>
      <c r="H11" s="9">
        <v>0</v>
      </c>
      <c r="I11" s="11">
        <v>0</v>
      </c>
      <c r="J11" s="9">
        <v>0</v>
      </c>
      <c r="K11" s="9">
        <v>0</v>
      </c>
      <c r="L11" s="12">
        <v>0</v>
      </c>
      <c r="M11" s="10">
        <v>0</v>
      </c>
      <c r="N11" s="9">
        <f t="shared" si="0"/>
        <v>0</v>
      </c>
      <c r="O11" s="11">
        <v>0</v>
      </c>
      <c r="P11" s="9">
        <v>0</v>
      </c>
      <c r="Q11" s="9">
        <v>0</v>
      </c>
      <c r="R11" s="12">
        <v>0</v>
      </c>
      <c r="S11" s="10"/>
      <c r="T11" s="9">
        <f t="shared" si="1"/>
        <v>0</v>
      </c>
      <c r="U11" s="11"/>
      <c r="X11" s="12"/>
      <c r="Y11" s="13">
        <v>41283.75</v>
      </c>
      <c r="Z11" s="13">
        <v>41283.75</v>
      </c>
      <c r="AA11" s="13">
        <v>41283.75</v>
      </c>
      <c r="AB11" s="13">
        <v>41283.75</v>
      </c>
      <c r="AC11" s="14">
        <f t="shared" si="6"/>
        <v>165135</v>
      </c>
      <c r="AD11" s="30">
        <f t="shared" si="7"/>
        <v>165135</v>
      </c>
    </row>
    <row r="12" spans="1:258" s="9" customFormat="1" ht="21" customHeight="1" x14ac:dyDescent="0.2">
      <c r="A12" s="9">
        <v>8</v>
      </c>
      <c r="B12" s="9" t="s">
        <v>44</v>
      </c>
      <c r="D12" s="9" t="s">
        <v>34</v>
      </c>
      <c r="E12" s="9" t="s">
        <v>35</v>
      </c>
      <c r="F12" s="10">
        <v>3500</v>
      </c>
      <c r="H12" s="9">
        <f>F12/4</f>
        <v>875</v>
      </c>
      <c r="I12" s="11">
        <v>1</v>
      </c>
      <c r="J12" s="9">
        <v>1</v>
      </c>
      <c r="K12" s="9">
        <v>1</v>
      </c>
      <c r="L12" s="12">
        <v>1</v>
      </c>
      <c r="M12" s="10">
        <v>0</v>
      </c>
      <c r="N12" s="9">
        <f t="shared" si="0"/>
        <v>0</v>
      </c>
      <c r="O12" s="11">
        <v>0</v>
      </c>
      <c r="P12" s="9">
        <v>0</v>
      </c>
      <c r="Q12" s="9">
        <v>0</v>
      </c>
      <c r="R12" s="12">
        <v>0</v>
      </c>
      <c r="S12" s="10">
        <v>1750</v>
      </c>
      <c r="T12" s="9">
        <f t="shared" si="1"/>
        <v>437.5</v>
      </c>
      <c r="U12" s="11">
        <f>4+1</f>
        <v>5</v>
      </c>
      <c r="V12" s="11">
        <f>4+1</f>
        <v>5</v>
      </c>
      <c r="W12" s="11">
        <f>4+1</f>
        <v>5</v>
      </c>
      <c r="X12" s="11">
        <f>4+1</f>
        <v>5</v>
      </c>
      <c r="Y12" s="13">
        <f t="shared" si="2"/>
        <v>2187.5</v>
      </c>
      <c r="Z12" s="13">
        <f t="shared" si="3"/>
        <v>2187.5</v>
      </c>
      <c r="AA12" s="13">
        <f t="shared" si="4"/>
        <v>2187.5</v>
      </c>
      <c r="AB12" s="13">
        <f t="shared" si="5"/>
        <v>2187.5</v>
      </c>
      <c r="AC12" s="14">
        <f t="shared" si="6"/>
        <v>8750</v>
      </c>
      <c r="AD12" s="14">
        <f t="shared" si="7"/>
        <v>8750</v>
      </c>
    </row>
    <row r="13" spans="1:258" s="9" customFormat="1" x14ac:dyDescent="0.2">
      <c r="A13" s="9">
        <v>9</v>
      </c>
      <c r="B13" s="9" t="s">
        <v>45</v>
      </c>
      <c r="D13" s="9" t="s">
        <v>34</v>
      </c>
      <c r="E13" s="9" t="s">
        <v>41</v>
      </c>
      <c r="F13" s="10">
        <v>3500</v>
      </c>
      <c r="H13" s="9">
        <f>F13/4</f>
        <v>875</v>
      </c>
      <c r="I13" s="11">
        <v>1</v>
      </c>
      <c r="J13" s="9">
        <v>1</v>
      </c>
      <c r="K13" s="9">
        <v>1</v>
      </c>
      <c r="L13" s="12">
        <v>1</v>
      </c>
      <c r="M13" s="10">
        <v>0</v>
      </c>
      <c r="N13" s="9">
        <f t="shared" si="0"/>
        <v>0</v>
      </c>
      <c r="O13" s="11">
        <v>0</v>
      </c>
      <c r="P13" s="9">
        <v>0</v>
      </c>
      <c r="Q13" s="9">
        <v>0</v>
      </c>
      <c r="R13" s="12">
        <v>0</v>
      </c>
      <c r="S13" s="10">
        <v>2250</v>
      </c>
      <c r="T13" s="9">
        <f t="shared" si="1"/>
        <v>562.5</v>
      </c>
      <c r="U13" s="11">
        <f>15+6</f>
        <v>21</v>
      </c>
      <c r="V13" s="11">
        <f>15+6</f>
        <v>21</v>
      </c>
      <c r="W13" s="11">
        <f>15+6</f>
        <v>21</v>
      </c>
      <c r="X13" s="11">
        <f>15+6</f>
        <v>21</v>
      </c>
      <c r="Y13" s="13">
        <f t="shared" si="2"/>
        <v>11812.5</v>
      </c>
      <c r="Z13" s="13">
        <f t="shared" si="3"/>
        <v>11812.5</v>
      </c>
      <c r="AA13" s="13">
        <f t="shared" si="4"/>
        <v>11812.5</v>
      </c>
      <c r="AB13" s="13">
        <f t="shared" si="5"/>
        <v>11812.5</v>
      </c>
      <c r="AC13" s="14">
        <f t="shared" si="6"/>
        <v>47250</v>
      </c>
      <c r="AD13" s="14">
        <f t="shared" si="7"/>
        <v>47250</v>
      </c>
    </row>
    <row r="14" spans="1:258" s="9" customFormat="1" ht="18.75" customHeight="1" x14ac:dyDescent="0.2">
      <c r="A14" s="9">
        <v>10</v>
      </c>
      <c r="B14" s="9" t="s">
        <v>48</v>
      </c>
      <c r="C14" s="9" t="s">
        <v>49</v>
      </c>
      <c r="D14" s="9" t="s">
        <v>34</v>
      </c>
      <c r="E14" s="9" t="s">
        <v>35</v>
      </c>
      <c r="F14" s="10">
        <v>0</v>
      </c>
      <c r="H14" s="9">
        <v>0</v>
      </c>
      <c r="I14" s="11">
        <v>0</v>
      </c>
      <c r="J14" s="9">
        <v>0</v>
      </c>
      <c r="K14" s="9">
        <v>0</v>
      </c>
      <c r="L14" s="12">
        <v>0</v>
      </c>
      <c r="M14" s="10">
        <v>0</v>
      </c>
      <c r="N14" s="9">
        <f>M14/4</f>
        <v>0</v>
      </c>
      <c r="O14" s="11">
        <v>0</v>
      </c>
      <c r="P14" s="9">
        <v>0</v>
      </c>
      <c r="Q14" s="9">
        <v>0</v>
      </c>
      <c r="R14" s="12">
        <v>0</v>
      </c>
      <c r="S14" s="10">
        <v>1850</v>
      </c>
      <c r="T14" s="9">
        <f t="shared" si="1"/>
        <v>462.5</v>
      </c>
      <c r="U14" s="11">
        <v>18</v>
      </c>
      <c r="V14" s="9">
        <v>18</v>
      </c>
      <c r="W14" s="9">
        <v>18</v>
      </c>
      <c r="X14" s="12">
        <v>18</v>
      </c>
      <c r="Y14" s="13">
        <f t="shared" si="2"/>
        <v>8325</v>
      </c>
      <c r="Z14" s="13">
        <f t="shared" si="3"/>
        <v>8325</v>
      </c>
      <c r="AA14" s="13">
        <f t="shared" si="4"/>
        <v>8325</v>
      </c>
      <c r="AB14" s="13">
        <f t="shared" si="5"/>
        <v>8325</v>
      </c>
      <c r="AC14" s="14">
        <f t="shared" si="6"/>
        <v>33300</v>
      </c>
      <c r="AD14" s="14">
        <f t="shared" si="7"/>
        <v>33300</v>
      </c>
    </row>
    <row r="15" spans="1:258" s="9" customFormat="1" x14ac:dyDescent="0.2">
      <c r="A15" s="9">
        <v>11</v>
      </c>
      <c r="B15" s="9" t="s">
        <v>50</v>
      </c>
      <c r="D15" s="9" t="s">
        <v>34</v>
      </c>
      <c r="E15" s="9" t="s">
        <v>41</v>
      </c>
      <c r="F15" s="10">
        <v>0</v>
      </c>
      <c r="H15" s="9">
        <v>0</v>
      </c>
      <c r="I15" s="11">
        <v>0</v>
      </c>
      <c r="J15" s="9">
        <v>0</v>
      </c>
      <c r="K15" s="9">
        <v>0</v>
      </c>
      <c r="L15" s="12">
        <v>0</v>
      </c>
      <c r="M15" s="10">
        <v>0</v>
      </c>
      <c r="N15" s="9">
        <f>M15/4</f>
        <v>0</v>
      </c>
      <c r="O15" s="11">
        <v>0</v>
      </c>
      <c r="P15" s="9">
        <v>0</v>
      </c>
      <c r="Q15" s="9">
        <v>0</v>
      </c>
      <c r="R15" s="12">
        <v>0</v>
      </c>
      <c r="S15" s="10">
        <v>1950</v>
      </c>
      <c r="T15" s="9">
        <f t="shared" si="1"/>
        <v>487.5</v>
      </c>
      <c r="U15" s="11">
        <f>6+1</f>
        <v>7</v>
      </c>
      <c r="V15" s="11">
        <f>6+1</f>
        <v>7</v>
      </c>
      <c r="W15" s="11">
        <f>6+1</f>
        <v>7</v>
      </c>
      <c r="X15" s="11">
        <f>6+1</f>
        <v>7</v>
      </c>
      <c r="Y15" s="13">
        <f t="shared" si="2"/>
        <v>3412.5</v>
      </c>
      <c r="Z15" s="13">
        <f t="shared" si="3"/>
        <v>3412.5</v>
      </c>
      <c r="AA15" s="13">
        <f t="shared" si="4"/>
        <v>3412.5</v>
      </c>
      <c r="AB15" s="13">
        <f t="shared" si="5"/>
        <v>3412.5</v>
      </c>
      <c r="AC15" s="14">
        <f t="shared" si="6"/>
        <v>13650</v>
      </c>
      <c r="AD15" s="14">
        <f t="shared" si="7"/>
        <v>13650</v>
      </c>
    </row>
    <row r="16" spans="1:258" s="9" customFormat="1" x14ac:dyDescent="0.2">
      <c r="A16" s="9">
        <v>12</v>
      </c>
      <c r="B16" s="9" t="s">
        <v>51</v>
      </c>
      <c r="D16" s="9" t="s">
        <v>34</v>
      </c>
      <c r="E16" s="9" t="s">
        <v>41</v>
      </c>
      <c r="F16" s="10">
        <v>3500</v>
      </c>
      <c r="H16" s="9">
        <f>F16/4</f>
        <v>875</v>
      </c>
      <c r="I16" s="11">
        <v>1</v>
      </c>
      <c r="J16" s="9">
        <v>1</v>
      </c>
      <c r="K16" s="9">
        <v>1</v>
      </c>
      <c r="L16" s="12">
        <v>1</v>
      </c>
      <c r="M16" s="10">
        <v>0</v>
      </c>
      <c r="N16" s="18">
        <f>M16/4</f>
        <v>0</v>
      </c>
      <c r="O16" s="11">
        <v>0</v>
      </c>
      <c r="P16" s="9">
        <v>0</v>
      </c>
      <c r="Q16" s="9">
        <v>0</v>
      </c>
      <c r="R16" s="12">
        <v>0</v>
      </c>
      <c r="S16" s="10">
        <v>1500</v>
      </c>
      <c r="T16" s="9">
        <f t="shared" si="1"/>
        <v>375</v>
      </c>
      <c r="U16" s="11">
        <f>17+1</f>
        <v>18</v>
      </c>
      <c r="V16" s="11">
        <f>17+1</f>
        <v>18</v>
      </c>
      <c r="W16" s="11">
        <f>17+1</f>
        <v>18</v>
      </c>
      <c r="X16" s="11">
        <f>17+1</f>
        <v>18</v>
      </c>
      <c r="Y16" s="13">
        <f t="shared" si="2"/>
        <v>6750</v>
      </c>
      <c r="Z16" s="13">
        <f t="shared" si="3"/>
        <v>6750</v>
      </c>
      <c r="AA16" s="13">
        <f t="shared" si="4"/>
        <v>6750</v>
      </c>
      <c r="AB16" s="13">
        <f t="shared" si="5"/>
        <v>6750</v>
      </c>
      <c r="AC16" s="14">
        <f t="shared" si="6"/>
        <v>27000</v>
      </c>
      <c r="AD16" s="14">
        <f t="shared" si="7"/>
        <v>27000</v>
      </c>
    </row>
    <row r="17" spans="1:60" s="9" customFormat="1" ht="19.5" customHeight="1" x14ac:dyDescent="0.2">
      <c r="A17" s="9">
        <v>13</v>
      </c>
      <c r="B17" s="9" t="s">
        <v>52</v>
      </c>
      <c r="D17" s="9" t="s">
        <v>34</v>
      </c>
      <c r="E17" s="9" t="s">
        <v>41</v>
      </c>
      <c r="F17" s="10">
        <v>3500</v>
      </c>
      <c r="H17" s="9">
        <f t="shared" ref="H17:H31" si="8">F17/4</f>
        <v>875</v>
      </c>
      <c r="I17" s="11">
        <v>1</v>
      </c>
      <c r="J17" s="9">
        <v>1</v>
      </c>
      <c r="K17" s="9">
        <v>1</v>
      </c>
      <c r="L17" s="12">
        <v>1</v>
      </c>
      <c r="M17" s="10">
        <v>850</v>
      </c>
      <c r="N17" s="9">
        <v>212.5</v>
      </c>
      <c r="O17" s="11">
        <v>0</v>
      </c>
      <c r="P17" s="9">
        <v>0</v>
      </c>
      <c r="Q17" s="9">
        <v>0</v>
      </c>
      <c r="R17" s="12">
        <v>0</v>
      </c>
      <c r="S17" s="10">
        <v>1850</v>
      </c>
      <c r="T17" s="9">
        <f t="shared" si="1"/>
        <v>462.5</v>
      </c>
      <c r="U17" s="11">
        <v>22</v>
      </c>
      <c r="V17" s="11">
        <v>22</v>
      </c>
      <c r="W17" s="11">
        <v>22</v>
      </c>
      <c r="X17" s="11">
        <v>22</v>
      </c>
      <c r="Y17" s="13">
        <f t="shared" si="2"/>
        <v>10175</v>
      </c>
      <c r="Z17" s="13">
        <f t="shared" si="3"/>
        <v>10175</v>
      </c>
      <c r="AA17" s="13">
        <f t="shared" si="4"/>
        <v>10175</v>
      </c>
      <c r="AB17" s="13">
        <f t="shared" si="5"/>
        <v>10175</v>
      </c>
      <c r="AC17" s="14">
        <f t="shared" si="6"/>
        <v>40700</v>
      </c>
      <c r="AD17" s="14">
        <f t="shared" si="7"/>
        <v>40700</v>
      </c>
    </row>
    <row r="18" spans="1:60" s="9" customFormat="1" ht="18" customHeight="1" x14ac:dyDescent="0.2">
      <c r="A18" s="9">
        <v>14</v>
      </c>
      <c r="B18" s="9" t="s">
        <v>53</v>
      </c>
      <c r="D18" s="9" t="s">
        <v>34</v>
      </c>
      <c r="E18" s="9" t="s">
        <v>41</v>
      </c>
      <c r="F18" s="10">
        <v>3500</v>
      </c>
      <c r="H18" s="9">
        <f t="shared" si="8"/>
        <v>875</v>
      </c>
      <c r="I18" s="11">
        <v>0</v>
      </c>
      <c r="J18" s="9">
        <v>0</v>
      </c>
      <c r="K18" s="9">
        <v>0</v>
      </c>
      <c r="L18" s="12">
        <v>0</v>
      </c>
      <c r="M18" s="10">
        <v>850</v>
      </c>
      <c r="N18" s="9">
        <v>212.5</v>
      </c>
      <c r="O18" s="11">
        <v>0</v>
      </c>
      <c r="P18" s="9">
        <v>0</v>
      </c>
      <c r="Q18" s="9">
        <v>0</v>
      </c>
      <c r="R18" s="12">
        <v>0</v>
      </c>
      <c r="S18" s="10">
        <v>1850</v>
      </c>
      <c r="T18" s="9">
        <f t="shared" si="1"/>
        <v>462.5</v>
      </c>
      <c r="U18" s="11">
        <v>20</v>
      </c>
      <c r="V18" s="11">
        <v>20</v>
      </c>
      <c r="W18" s="11">
        <v>20</v>
      </c>
      <c r="X18" s="11">
        <v>20</v>
      </c>
      <c r="Y18" s="13">
        <f t="shared" si="2"/>
        <v>9250</v>
      </c>
      <c r="Z18" s="13">
        <f t="shared" si="3"/>
        <v>9250</v>
      </c>
      <c r="AA18" s="13">
        <f t="shared" si="4"/>
        <v>9250</v>
      </c>
      <c r="AB18" s="13">
        <f t="shared" si="5"/>
        <v>9250</v>
      </c>
      <c r="AC18" s="14">
        <f t="shared" si="6"/>
        <v>37000</v>
      </c>
      <c r="AD18" s="14">
        <f t="shared" si="7"/>
        <v>37000</v>
      </c>
    </row>
    <row r="19" spans="1:60" s="9" customFormat="1" ht="16.5" customHeight="1" x14ac:dyDescent="0.2">
      <c r="A19" s="9">
        <v>15</v>
      </c>
      <c r="B19" s="9" t="s">
        <v>54</v>
      </c>
      <c r="D19" s="9" t="s">
        <v>34</v>
      </c>
      <c r="E19" s="9" t="s">
        <v>55</v>
      </c>
      <c r="F19" s="10">
        <v>3500</v>
      </c>
      <c r="H19" s="9">
        <f t="shared" si="8"/>
        <v>875</v>
      </c>
      <c r="I19" s="11">
        <v>1</v>
      </c>
      <c r="J19" s="9">
        <v>1</v>
      </c>
      <c r="K19" s="9">
        <v>1</v>
      </c>
      <c r="L19" s="12">
        <v>1</v>
      </c>
      <c r="M19" s="10">
        <v>1163</v>
      </c>
      <c r="N19" s="9">
        <v>290.75</v>
      </c>
      <c r="O19" s="11">
        <v>1</v>
      </c>
      <c r="P19" s="9">
        <v>1</v>
      </c>
      <c r="Q19" s="9">
        <v>1</v>
      </c>
      <c r="R19" s="12">
        <v>0</v>
      </c>
      <c r="S19" s="10">
        <v>1700</v>
      </c>
      <c r="T19" s="9">
        <f t="shared" si="1"/>
        <v>425</v>
      </c>
      <c r="U19" s="11">
        <f>45+67</f>
        <v>112</v>
      </c>
      <c r="V19" s="11">
        <f>45+67</f>
        <v>112</v>
      </c>
      <c r="W19" s="11">
        <f>45+67</f>
        <v>112</v>
      </c>
      <c r="X19" s="11">
        <f>45+67</f>
        <v>112</v>
      </c>
      <c r="Y19" s="13">
        <f t="shared" si="2"/>
        <v>47600</v>
      </c>
      <c r="Z19" s="13">
        <f t="shared" si="3"/>
        <v>47600</v>
      </c>
      <c r="AA19" s="13">
        <f t="shared" si="4"/>
        <v>47600</v>
      </c>
      <c r="AB19" s="13">
        <f t="shared" si="5"/>
        <v>47600</v>
      </c>
      <c r="AC19" s="14">
        <f t="shared" si="6"/>
        <v>190400</v>
      </c>
      <c r="AD19" s="14">
        <f t="shared" si="7"/>
        <v>190400</v>
      </c>
      <c r="AH19" s="9" t="s">
        <v>0</v>
      </c>
      <c r="AI19" s="9" t="s">
        <v>0</v>
      </c>
    </row>
    <row r="20" spans="1:60" s="9" customFormat="1" ht="20.25" customHeight="1" x14ac:dyDescent="0.2">
      <c r="A20" s="9">
        <v>16</v>
      </c>
      <c r="B20" s="9" t="s">
        <v>56</v>
      </c>
      <c r="D20" s="9" t="s">
        <v>34</v>
      </c>
      <c r="E20" s="9" t="s">
        <v>41</v>
      </c>
      <c r="F20" s="10">
        <v>0</v>
      </c>
      <c r="H20" s="9">
        <f t="shared" si="8"/>
        <v>0</v>
      </c>
      <c r="I20" s="11">
        <v>0</v>
      </c>
      <c r="J20" s="9">
        <v>0</v>
      </c>
      <c r="K20" s="9">
        <v>0</v>
      </c>
      <c r="L20" s="12">
        <v>0</v>
      </c>
      <c r="M20" s="10">
        <v>0</v>
      </c>
      <c r="N20" s="9">
        <f>M20/4</f>
        <v>0</v>
      </c>
      <c r="O20" s="11">
        <v>0</v>
      </c>
      <c r="P20" s="9">
        <v>0</v>
      </c>
      <c r="Q20" s="9">
        <v>0</v>
      </c>
      <c r="R20" s="12">
        <v>0</v>
      </c>
      <c r="S20" s="10">
        <v>1500</v>
      </c>
      <c r="T20" s="9">
        <f t="shared" si="1"/>
        <v>375</v>
      </c>
      <c r="U20" s="11">
        <v>18</v>
      </c>
      <c r="V20" s="9">
        <v>18</v>
      </c>
      <c r="W20" s="9">
        <v>18</v>
      </c>
      <c r="X20" s="12">
        <v>18</v>
      </c>
      <c r="Y20" s="13">
        <f t="shared" si="2"/>
        <v>6750</v>
      </c>
      <c r="Z20" s="13">
        <f t="shared" si="3"/>
        <v>6750</v>
      </c>
      <c r="AA20" s="13">
        <f t="shared" si="4"/>
        <v>6750</v>
      </c>
      <c r="AB20" s="13">
        <f t="shared" si="5"/>
        <v>6750</v>
      </c>
      <c r="AC20" s="14">
        <f t="shared" si="6"/>
        <v>27000</v>
      </c>
      <c r="AD20" s="14">
        <f t="shared" si="7"/>
        <v>27000</v>
      </c>
    </row>
    <row r="21" spans="1:60" s="9" customFormat="1" ht="19.5" customHeight="1" x14ac:dyDescent="0.2">
      <c r="A21" s="9">
        <v>17</v>
      </c>
      <c r="B21" s="1" t="s">
        <v>57</v>
      </c>
      <c r="D21" s="9" t="s">
        <v>34</v>
      </c>
      <c r="E21" s="9" t="s">
        <v>38</v>
      </c>
      <c r="F21" s="10">
        <v>3500</v>
      </c>
      <c r="H21" s="9">
        <f t="shared" si="8"/>
        <v>875</v>
      </c>
      <c r="I21" s="11">
        <v>1</v>
      </c>
      <c r="J21" s="9">
        <v>1</v>
      </c>
      <c r="K21" s="9">
        <v>1</v>
      </c>
      <c r="L21" s="12">
        <v>1</v>
      </c>
      <c r="M21" s="10">
        <v>0</v>
      </c>
      <c r="N21" s="9">
        <f>M21/4</f>
        <v>0</v>
      </c>
      <c r="O21" s="11">
        <v>0</v>
      </c>
      <c r="P21" s="9">
        <v>0</v>
      </c>
      <c r="Q21" s="9">
        <v>0</v>
      </c>
      <c r="R21" s="12">
        <v>0</v>
      </c>
      <c r="S21" s="10">
        <v>2000</v>
      </c>
      <c r="T21" s="9">
        <f t="shared" si="1"/>
        <v>500</v>
      </c>
      <c r="U21" s="11">
        <v>10</v>
      </c>
      <c r="V21" s="9">
        <v>10</v>
      </c>
      <c r="W21" s="9">
        <v>10</v>
      </c>
      <c r="X21" s="12">
        <v>10</v>
      </c>
      <c r="Y21" s="13">
        <f t="shared" si="2"/>
        <v>5000</v>
      </c>
      <c r="Z21" s="13">
        <f t="shared" si="3"/>
        <v>5000</v>
      </c>
      <c r="AA21" s="13">
        <f t="shared" si="4"/>
        <v>5000</v>
      </c>
      <c r="AB21" s="13">
        <f t="shared" si="5"/>
        <v>5000</v>
      </c>
      <c r="AC21" s="14">
        <f t="shared" si="6"/>
        <v>20000</v>
      </c>
      <c r="AD21" s="14">
        <f t="shared" si="7"/>
        <v>20000</v>
      </c>
    </row>
    <row r="22" spans="1:60" s="9" customFormat="1" ht="22.5" customHeight="1" x14ac:dyDescent="0.2">
      <c r="A22" s="9">
        <v>18</v>
      </c>
      <c r="B22" s="34" t="s">
        <v>58</v>
      </c>
      <c r="C22" s="34" t="s">
        <v>98</v>
      </c>
      <c r="D22" s="9" t="s">
        <v>34</v>
      </c>
      <c r="E22" s="9" t="s">
        <v>35</v>
      </c>
      <c r="F22" s="10">
        <v>0</v>
      </c>
      <c r="H22" s="9">
        <f t="shared" si="8"/>
        <v>0</v>
      </c>
      <c r="I22" s="11">
        <v>0</v>
      </c>
      <c r="J22" s="9">
        <v>0</v>
      </c>
      <c r="K22" s="9">
        <v>0</v>
      </c>
      <c r="L22" s="12">
        <v>0</v>
      </c>
      <c r="M22" s="10">
        <v>0</v>
      </c>
      <c r="N22" s="9">
        <f>M22/4</f>
        <v>0</v>
      </c>
      <c r="O22" s="11">
        <v>0</v>
      </c>
      <c r="P22" s="9">
        <v>0</v>
      </c>
      <c r="Q22" s="9">
        <v>0</v>
      </c>
      <c r="R22" s="12">
        <v>0</v>
      </c>
      <c r="S22" s="10">
        <v>2050</v>
      </c>
      <c r="T22" s="9">
        <f t="shared" si="1"/>
        <v>512.5</v>
      </c>
      <c r="U22" s="11">
        <f>11+1</f>
        <v>12</v>
      </c>
      <c r="V22" s="11">
        <f>11+1</f>
        <v>12</v>
      </c>
      <c r="W22" s="11">
        <f>11+1</f>
        <v>12</v>
      </c>
      <c r="X22" s="11">
        <f>11+1</f>
        <v>12</v>
      </c>
      <c r="Y22" s="13">
        <f t="shared" si="2"/>
        <v>6150</v>
      </c>
      <c r="Z22" s="13">
        <f t="shared" si="3"/>
        <v>6150</v>
      </c>
      <c r="AA22" s="13">
        <f t="shared" si="4"/>
        <v>6150</v>
      </c>
      <c r="AB22" s="13">
        <f t="shared" si="5"/>
        <v>6150</v>
      </c>
      <c r="AC22" s="14">
        <f t="shared" si="6"/>
        <v>24600</v>
      </c>
      <c r="AD22" s="14">
        <f t="shared" si="7"/>
        <v>24600</v>
      </c>
    </row>
    <row r="23" spans="1:60" s="9" customFormat="1" ht="20.25" hidden="1" customHeight="1" x14ac:dyDescent="0.2">
      <c r="A23" s="9">
        <v>19</v>
      </c>
      <c r="B23" s="9" t="s">
        <v>59</v>
      </c>
      <c r="C23" s="9" t="s">
        <v>60</v>
      </c>
      <c r="D23" s="1" t="s">
        <v>34</v>
      </c>
      <c r="E23" s="1" t="s">
        <v>61</v>
      </c>
      <c r="F23" s="4">
        <v>3500</v>
      </c>
      <c r="G23" s="1"/>
      <c r="H23" s="9">
        <f t="shared" si="8"/>
        <v>875</v>
      </c>
      <c r="I23" s="5">
        <v>0</v>
      </c>
      <c r="J23" s="1">
        <v>0</v>
      </c>
      <c r="K23" s="1">
        <v>0</v>
      </c>
      <c r="L23" s="6">
        <v>0</v>
      </c>
      <c r="M23" s="4">
        <v>0</v>
      </c>
      <c r="N23" s="1">
        <f>M23/4</f>
        <v>0</v>
      </c>
      <c r="O23" s="11">
        <v>0</v>
      </c>
      <c r="P23" s="9">
        <v>0</v>
      </c>
      <c r="Q23" s="9">
        <v>0</v>
      </c>
      <c r="R23" s="12">
        <v>0</v>
      </c>
      <c r="S23" s="4">
        <v>1900</v>
      </c>
      <c r="T23" s="9">
        <f t="shared" si="1"/>
        <v>475</v>
      </c>
      <c r="U23" s="5">
        <v>5</v>
      </c>
      <c r="V23" s="1">
        <v>5</v>
      </c>
      <c r="W23" s="1">
        <v>5</v>
      </c>
      <c r="X23" s="6">
        <v>5</v>
      </c>
      <c r="Y23" s="13">
        <f t="shared" si="2"/>
        <v>2375</v>
      </c>
      <c r="Z23" s="13">
        <f t="shared" si="3"/>
        <v>2375</v>
      </c>
      <c r="AA23" s="13">
        <f t="shared" si="4"/>
        <v>2375</v>
      </c>
      <c r="AB23" s="13">
        <f t="shared" si="5"/>
        <v>2375</v>
      </c>
      <c r="AC23" s="14">
        <f t="shared" si="6"/>
        <v>9500</v>
      </c>
      <c r="AD23" s="14">
        <f t="shared" si="7"/>
        <v>9500</v>
      </c>
    </row>
    <row r="24" spans="1:60" s="9" customFormat="1" ht="16.5" customHeight="1" x14ac:dyDescent="0.2">
      <c r="A24" s="9">
        <v>20</v>
      </c>
      <c r="B24" s="9" t="s">
        <v>62</v>
      </c>
      <c r="D24" s="9" t="s">
        <v>34</v>
      </c>
      <c r="E24" s="9" t="s">
        <v>38</v>
      </c>
      <c r="F24" s="10">
        <v>0</v>
      </c>
      <c r="H24" s="9">
        <f t="shared" si="8"/>
        <v>0</v>
      </c>
      <c r="I24" s="11">
        <v>0</v>
      </c>
      <c r="J24" s="9">
        <v>0</v>
      </c>
      <c r="K24" s="9">
        <v>0</v>
      </c>
      <c r="L24" s="12">
        <v>0</v>
      </c>
      <c r="M24" s="10">
        <v>0</v>
      </c>
      <c r="N24" s="9">
        <v>0</v>
      </c>
      <c r="O24" s="11">
        <v>0</v>
      </c>
      <c r="P24" s="9">
        <v>0</v>
      </c>
      <c r="Q24" s="9">
        <v>0</v>
      </c>
      <c r="R24" s="12">
        <v>0</v>
      </c>
      <c r="S24" s="10">
        <v>2000</v>
      </c>
      <c r="T24" s="9">
        <f t="shared" si="1"/>
        <v>500</v>
      </c>
      <c r="U24" s="11">
        <f>6+4</f>
        <v>10</v>
      </c>
      <c r="V24" s="11">
        <f>6+4</f>
        <v>10</v>
      </c>
      <c r="W24" s="11">
        <f>6+4</f>
        <v>10</v>
      </c>
      <c r="X24" s="11">
        <f>6+4</f>
        <v>10</v>
      </c>
      <c r="Y24" s="13">
        <f t="shared" si="2"/>
        <v>5000</v>
      </c>
      <c r="Z24" s="13">
        <f t="shared" si="3"/>
        <v>5000</v>
      </c>
      <c r="AA24" s="13">
        <f t="shared" si="4"/>
        <v>5000</v>
      </c>
      <c r="AB24" s="13">
        <f t="shared" si="5"/>
        <v>5000</v>
      </c>
      <c r="AC24" s="14">
        <f t="shared" si="6"/>
        <v>20000</v>
      </c>
      <c r="AD24" s="14">
        <f t="shared" si="7"/>
        <v>20000</v>
      </c>
    </row>
    <row r="25" spans="1:60" s="9" customFormat="1" ht="16.5" customHeight="1" x14ac:dyDescent="0.2">
      <c r="A25" s="9">
        <v>21</v>
      </c>
      <c r="B25" s="9" t="s">
        <v>63</v>
      </c>
      <c r="C25" s="9" t="s">
        <v>0</v>
      </c>
      <c r="D25" s="9" t="s">
        <v>34</v>
      </c>
      <c r="E25" s="9" t="s">
        <v>64</v>
      </c>
      <c r="F25" s="10">
        <v>0</v>
      </c>
      <c r="H25" s="9">
        <f t="shared" si="8"/>
        <v>0</v>
      </c>
      <c r="I25" s="11">
        <v>0</v>
      </c>
      <c r="J25" s="9">
        <v>0</v>
      </c>
      <c r="K25" s="9">
        <v>0</v>
      </c>
      <c r="L25" s="12">
        <v>0</v>
      </c>
      <c r="M25" s="10">
        <v>0</v>
      </c>
      <c r="N25" s="9">
        <v>0</v>
      </c>
      <c r="O25" s="11">
        <v>0</v>
      </c>
      <c r="P25" s="9">
        <v>0</v>
      </c>
      <c r="Q25" s="9">
        <v>0</v>
      </c>
      <c r="R25" s="12">
        <v>0</v>
      </c>
      <c r="S25" s="10">
        <v>2150</v>
      </c>
      <c r="T25" s="9">
        <f t="shared" si="1"/>
        <v>537.5</v>
      </c>
      <c r="U25" s="11">
        <v>10</v>
      </c>
      <c r="V25" s="9">
        <v>10</v>
      </c>
      <c r="W25" s="9">
        <v>10</v>
      </c>
      <c r="X25" s="12">
        <v>10</v>
      </c>
      <c r="Y25" s="13">
        <f t="shared" si="2"/>
        <v>5375</v>
      </c>
      <c r="Z25" s="13">
        <f t="shared" si="3"/>
        <v>5375</v>
      </c>
      <c r="AA25" s="13">
        <f t="shared" si="4"/>
        <v>5375</v>
      </c>
      <c r="AB25" s="13">
        <f t="shared" si="5"/>
        <v>5375</v>
      </c>
      <c r="AC25" s="14">
        <f t="shared" si="6"/>
        <v>21500</v>
      </c>
      <c r="AD25" s="14">
        <f t="shared" si="7"/>
        <v>21500</v>
      </c>
    </row>
    <row r="26" spans="1:60" s="9" customFormat="1" ht="16.5" customHeight="1" x14ac:dyDescent="0.2">
      <c r="A26" s="9">
        <v>22</v>
      </c>
      <c r="B26" s="9" t="s">
        <v>65</v>
      </c>
      <c r="D26" s="9" t="s">
        <v>34</v>
      </c>
      <c r="E26" s="9" t="s">
        <v>66</v>
      </c>
      <c r="F26" s="10">
        <v>3500</v>
      </c>
      <c r="H26" s="9">
        <f t="shared" si="8"/>
        <v>875</v>
      </c>
      <c r="I26" s="11">
        <v>1</v>
      </c>
      <c r="J26" s="9">
        <v>1</v>
      </c>
      <c r="K26" s="9">
        <v>1</v>
      </c>
      <c r="L26" s="12">
        <v>1</v>
      </c>
      <c r="M26" s="10">
        <v>0</v>
      </c>
      <c r="N26" s="9">
        <v>0</v>
      </c>
      <c r="O26" s="11">
        <v>0</v>
      </c>
      <c r="P26" s="9">
        <v>0</v>
      </c>
      <c r="Q26" s="9">
        <v>0</v>
      </c>
      <c r="R26" s="12">
        <v>0</v>
      </c>
      <c r="S26" s="10">
        <v>2000</v>
      </c>
      <c r="T26" s="9">
        <f t="shared" si="1"/>
        <v>500</v>
      </c>
      <c r="U26" s="11">
        <f>15+1</f>
        <v>16</v>
      </c>
      <c r="V26" s="11">
        <f>15+1</f>
        <v>16</v>
      </c>
      <c r="W26" s="11">
        <f>15+1</f>
        <v>16</v>
      </c>
      <c r="X26" s="11">
        <f>15+1</f>
        <v>16</v>
      </c>
      <c r="Y26" s="13">
        <f t="shared" si="2"/>
        <v>8000</v>
      </c>
      <c r="Z26" s="13">
        <f t="shared" si="3"/>
        <v>8000</v>
      </c>
      <c r="AA26" s="13">
        <f t="shared" si="4"/>
        <v>8000</v>
      </c>
      <c r="AB26" s="13">
        <f t="shared" si="5"/>
        <v>8000</v>
      </c>
      <c r="AC26" s="14">
        <f t="shared" si="6"/>
        <v>32000</v>
      </c>
      <c r="AD26" s="14">
        <f t="shared" si="7"/>
        <v>32000</v>
      </c>
    </row>
    <row r="27" spans="1:60" s="8" customFormat="1" ht="16.5" customHeight="1" x14ac:dyDescent="0.2">
      <c r="A27" s="9">
        <v>23</v>
      </c>
      <c r="B27" s="9" t="s">
        <v>67</v>
      </c>
      <c r="C27" s="9"/>
      <c r="D27" s="9" t="s">
        <v>34</v>
      </c>
      <c r="E27" s="9" t="s">
        <v>38</v>
      </c>
      <c r="F27" s="10">
        <v>3500</v>
      </c>
      <c r="G27" s="9"/>
      <c r="H27" s="9">
        <f t="shared" si="8"/>
        <v>875</v>
      </c>
      <c r="I27" s="11">
        <v>2</v>
      </c>
      <c r="J27" s="9">
        <v>2</v>
      </c>
      <c r="K27" s="9">
        <v>2</v>
      </c>
      <c r="L27" s="12">
        <v>2</v>
      </c>
      <c r="M27" s="10">
        <v>0</v>
      </c>
      <c r="N27" s="9">
        <v>0</v>
      </c>
      <c r="O27" s="11">
        <v>0</v>
      </c>
      <c r="P27" s="9">
        <v>0</v>
      </c>
      <c r="Q27" s="9">
        <v>0</v>
      </c>
      <c r="R27" s="12">
        <v>0</v>
      </c>
      <c r="S27" s="4">
        <v>1850</v>
      </c>
      <c r="T27" s="9">
        <f t="shared" si="1"/>
        <v>462.5</v>
      </c>
      <c r="U27" s="11">
        <f>10+2</f>
        <v>12</v>
      </c>
      <c r="V27" s="11">
        <f>10+2</f>
        <v>12</v>
      </c>
      <c r="W27" s="11">
        <f>10+2</f>
        <v>12</v>
      </c>
      <c r="X27" s="11">
        <f>10+2</f>
        <v>12</v>
      </c>
      <c r="Y27" s="13">
        <f t="shared" si="2"/>
        <v>5550</v>
      </c>
      <c r="Z27" s="13">
        <f t="shared" si="3"/>
        <v>5550</v>
      </c>
      <c r="AA27" s="13">
        <f t="shared" si="4"/>
        <v>5550</v>
      </c>
      <c r="AB27" s="13">
        <f t="shared" si="5"/>
        <v>5550</v>
      </c>
      <c r="AC27" s="14">
        <f t="shared" si="6"/>
        <v>22200</v>
      </c>
      <c r="AD27" s="14">
        <f t="shared" si="7"/>
        <v>22200</v>
      </c>
    </row>
    <row r="28" spans="1:60" s="9" customFormat="1" x14ac:dyDescent="0.2">
      <c r="A28" s="9">
        <v>24</v>
      </c>
      <c r="B28" s="1" t="s">
        <v>70</v>
      </c>
      <c r="C28" s="1" t="s">
        <v>71</v>
      </c>
      <c r="D28" s="9" t="s">
        <v>34</v>
      </c>
      <c r="E28" s="9" t="s">
        <v>35</v>
      </c>
      <c r="F28" s="10">
        <v>3500</v>
      </c>
      <c r="H28" s="9">
        <f t="shared" si="8"/>
        <v>875</v>
      </c>
      <c r="I28" s="11">
        <v>1</v>
      </c>
      <c r="J28" s="9">
        <v>1</v>
      </c>
      <c r="K28" s="9">
        <v>1</v>
      </c>
      <c r="L28" s="12">
        <v>1</v>
      </c>
      <c r="M28" s="10">
        <v>0</v>
      </c>
      <c r="N28" s="9">
        <v>0</v>
      </c>
      <c r="O28" s="11">
        <v>0</v>
      </c>
      <c r="P28" s="9">
        <v>0</v>
      </c>
      <c r="Q28" s="9">
        <v>0</v>
      </c>
      <c r="R28" s="12">
        <v>0</v>
      </c>
      <c r="S28" s="12">
        <v>2200</v>
      </c>
      <c r="T28" s="9">
        <f t="shared" si="1"/>
        <v>550</v>
      </c>
      <c r="U28" s="11">
        <v>20</v>
      </c>
      <c r="V28" s="9">
        <v>20</v>
      </c>
      <c r="W28" s="9">
        <v>20</v>
      </c>
      <c r="X28" s="12">
        <v>20</v>
      </c>
      <c r="Y28" s="13">
        <f t="shared" si="2"/>
        <v>11000</v>
      </c>
      <c r="Z28" s="13">
        <f t="shared" si="3"/>
        <v>11000</v>
      </c>
      <c r="AA28" s="13">
        <f t="shared" si="4"/>
        <v>11000</v>
      </c>
      <c r="AB28" s="13">
        <f t="shared" si="5"/>
        <v>11000</v>
      </c>
      <c r="AC28" s="14">
        <f t="shared" si="6"/>
        <v>44000</v>
      </c>
      <c r="AD28" s="14">
        <f t="shared" si="7"/>
        <v>44000</v>
      </c>
      <c r="BH28" s="14"/>
    </row>
    <row r="29" spans="1:60" s="9" customFormat="1" x14ac:dyDescent="0.2">
      <c r="A29" s="9">
        <v>25</v>
      </c>
      <c r="B29" s="1" t="s">
        <v>72</v>
      </c>
      <c r="C29" s="1" t="s">
        <v>73</v>
      </c>
      <c r="D29" s="9" t="s">
        <v>34</v>
      </c>
      <c r="E29" s="9" t="s">
        <v>38</v>
      </c>
      <c r="F29" s="10">
        <v>3000</v>
      </c>
      <c r="H29" s="9">
        <f t="shared" si="8"/>
        <v>750</v>
      </c>
      <c r="I29" s="11">
        <v>1</v>
      </c>
      <c r="J29" s="9">
        <v>1</v>
      </c>
      <c r="K29" s="9">
        <v>1</v>
      </c>
      <c r="L29" s="12">
        <v>1</v>
      </c>
      <c r="M29" s="10">
        <v>0</v>
      </c>
      <c r="N29" s="9">
        <v>0</v>
      </c>
      <c r="O29" s="11">
        <v>0</v>
      </c>
      <c r="P29" s="9">
        <v>0</v>
      </c>
      <c r="Q29" s="9">
        <v>0</v>
      </c>
      <c r="R29" s="12">
        <v>0</v>
      </c>
      <c r="S29" s="12">
        <v>2100</v>
      </c>
      <c r="T29" s="9">
        <f t="shared" si="1"/>
        <v>525</v>
      </c>
      <c r="U29" s="11">
        <v>30</v>
      </c>
      <c r="V29" s="11">
        <v>30</v>
      </c>
      <c r="W29" s="11">
        <v>30</v>
      </c>
      <c r="X29" s="11">
        <v>30</v>
      </c>
      <c r="Y29" s="13">
        <f t="shared" si="2"/>
        <v>15750</v>
      </c>
      <c r="Z29" s="13">
        <f t="shared" si="3"/>
        <v>15750</v>
      </c>
      <c r="AA29" s="13">
        <f t="shared" si="4"/>
        <v>15750</v>
      </c>
      <c r="AB29" s="13">
        <f t="shared" si="5"/>
        <v>15750</v>
      </c>
      <c r="AC29" s="14">
        <f t="shared" si="6"/>
        <v>63000</v>
      </c>
      <c r="AD29" s="14">
        <f t="shared" si="7"/>
        <v>63000</v>
      </c>
      <c r="BH29" s="14"/>
    </row>
    <row r="30" spans="1:60" s="9" customFormat="1" x14ac:dyDescent="0.2">
      <c r="A30" s="9">
        <v>26</v>
      </c>
      <c r="B30" s="1" t="s">
        <v>78</v>
      </c>
      <c r="C30" s="15" t="s">
        <v>96</v>
      </c>
      <c r="D30" s="9" t="s">
        <v>34</v>
      </c>
      <c r="E30" s="9" t="s">
        <v>38</v>
      </c>
      <c r="F30" s="10">
        <v>3500</v>
      </c>
      <c r="H30" s="9">
        <f t="shared" si="8"/>
        <v>875</v>
      </c>
      <c r="I30" s="11">
        <v>1</v>
      </c>
      <c r="J30" s="9">
        <v>1</v>
      </c>
      <c r="K30" s="9">
        <v>1</v>
      </c>
      <c r="L30" s="12">
        <v>1</v>
      </c>
      <c r="M30" s="10">
        <v>0</v>
      </c>
      <c r="N30" s="9">
        <v>0</v>
      </c>
      <c r="O30" s="11">
        <v>0</v>
      </c>
      <c r="P30" s="9">
        <v>0</v>
      </c>
      <c r="Q30" s="9">
        <v>0</v>
      </c>
      <c r="R30" s="12">
        <v>0</v>
      </c>
      <c r="S30" s="12">
        <v>2100</v>
      </c>
      <c r="T30" s="9">
        <f t="shared" si="1"/>
        <v>525</v>
      </c>
      <c r="U30" s="11">
        <v>16</v>
      </c>
      <c r="V30" s="9">
        <v>16</v>
      </c>
      <c r="W30" s="9">
        <v>16</v>
      </c>
      <c r="X30" s="9">
        <v>16</v>
      </c>
      <c r="Y30" s="13">
        <f t="shared" si="2"/>
        <v>8400</v>
      </c>
      <c r="Z30" s="13">
        <f t="shared" si="3"/>
        <v>8400</v>
      </c>
      <c r="AA30" s="13">
        <f t="shared" si="4"/>
        <v>8400</v>
      </c>
      <c r="AB30" s="13">
        <f t="shared" si="5"/>
        <v>8400</v>
      </c>
      <c r="AC30" s="14">
        <f t="shared" si="6"/>
        <v>33600</v>
      </c>
      <c r="AD30" s="14">
        <f t="shared" si="7"/>
        <v>33600</v>
      </c>
      <c r="BH30" s="14"/>
    </row>
    <row r="31" spans="1:60" s="9" customFormat="1" x14ac:dyDescent="0.2">
      <c r="A31" s="9">
        <v>27</v>
      </c>
      <c r="B31" s="1" t="s">
        <v>93</v>
      </c>
      <c r="C31" s="15" t="s">
        <v>94</v>
      </c>
      <c r="D31" s="9" t="s">
        <v>34</v>
      </c>
      <c r="E31" s="9" t="s">
        <v>38</v>
      </c>
      <c r="F31" s="27">
        <v>2500</v>
      </c>
      <c r="G31" s="28">
        <v>2</v>
      </c>
      <c r="H31" s="28">
        <f t="shared" si="8"/>
        <v>625</v>
      </c>
      <c r="I31" s="11">
        <v>0</v>
      </c>
      <c r="J31" s="9">
        <v>0</v>
      </c>
      <c r="K31" s="9">
        <v>0</v>
      </c>
      <c r="L31" s="12">
        <v>0</v>
      </c>
      <c r="M31" s="10">
        <v>0</v>
      </c>
      <c r="N31" s="9">
        <v>0</v>
      </c>
      <c r="O31" s="11">
        <v>0</v>
      </c>
      <c r="P31" s="9">
        <v>0</v>
      </c>
      <c r="Q31" s="9">
        <v>0</v>
      </c>
      <c r="R31" s="12">
        <v>0</v>
      </c>
      <c r="S31" s="12">
        <v>3000</v>
      </c>
      <c r="T31" s="9">
        <f t="shared" si="1"/>
        <v>750</v>
      </c>
      <c r="U31" s="11">
        <v>13</v>
      </c>
      <c r="V31" s="9">
        <v>13</v>
      </c>
      <c r="W31" s="9">
        <v>13</v>
      </c>
      <c r="X31" s="9">
        <v>13</v>
      </c>
      <c r="Y31" s="14">
        <f t="shared" si="2"/>
        <v>9750</v>
      </c>
      <c r="Z31" s="14">
        <f t="shared" si="3"/>
        <v>9750</v>
      </c>
      <c r="AA31" s="14">
        <f t="shared" si="4"/>
        <v>9750</v>
      </c>
      <c r="AB31" s="14">
        <f t="shared" si="5"/>
        <v>9750</v>
      </c>
      <c r="AC31" s="14">
        <f t="shared" si="6"/>
        <v>39000</v>
      </c>
      <c r="AD31" s="14">
        <f t="shared" si="7"/>
        <v>39000</v>
      </c>
      <c r="BH31" s="14"/>
    </row>
    <row r="32" spans="1:60" s="9" customFormat="1" x14ac:dyDescent="0.2">
      <c r="A32" s="9">
        <v>28</v>
      </c>
      <c r="B32" s="1"/>
      <c r="C32" s="15"/>
      <c r="F32" s="10"/>
      <c r="I32" s="11"/>
      <c r="L32" s="12"/>
      <c r="M32" s="10"/>
      <c r="O32" s="11"/>
      <c r="R32" s="12"/>
      <c r="S32" s="12"/>
      <c r="U32" s="11"/>
      <c r="Y32" s="14"/>
      <c r="Z32" s="14"/>
      <c r="AA32" s="14"/>
      <c r="AB32" s="14"/>
      <c r="AC32" s="14"/>
      <c r="AD32" s="14"/>
      <c r="BH32" s="14"/>
    </row>
    <row r="33" spans="1:60" s="9" customFormat="1" x14ac:dyDescent="0.2">
      <c r="F33" s="10"/>
      <c r="I33" s="11"/>
      <c r="L33" s="12"/>
      <c r="M33" s="10"/>
      <c r="O33" s="11"/>
      <c r="R33" s="12"/>
      <c r="S33" s="10"/>
      <c r="U33" s="11"/>
      <c r="X33" s="12"/>
      <c r="Y33" s="14"/>
      <c r="Z33" s="14"/>
      <c r="AA33" s="14"/>
      <c r="AB33" s="14"/>
      <c r="AC33" s="14"/>
      <c r="AD33" s="14"/>
      <c r="BH33" s="14"/>
    </row>
    <row r="34" spans="1:60" s="9" customFormat="1" ht="15.75" x14ac:dyDescent="0.25">
      <c r="B34" s="20" t="s">
        <v>90</v>
      </c>
      <c r="F34" s="10"/>
      <c r="I34" s="11"/>
      <c r="L34" s="12"/>
      <c r="M34" s="10"/>
      <c r="O34" s="11"/>
      <c r="R34" s="12"/>
      <c r="S34" s="10"/>
      <c r="U34" s="11"/>
      <c r="X34" s="12"/>
      <c r="Y34" s="14"/>
      <c r="Z34" s="14"/>
      <c r="AA34" s="14"/>
      <c r="AB34" s="14"/>
      <c r="AC34" s="14"/>
      <c r="AD34" s="14"/>
      <c r="BH34" s="14"/>
    </row>
    <row r="35" spans="1:60" s="9" customFormat="1" x14ac:dyDescent="0.2">
      <c r="A35" s="9">
        <v>1</v>
      </c>
      <c r="B35" s="9" t="s">
        <v>46</v>
      </c>
      <c r="D35" s="9" t="s">
        <v>34</v>
      </c>
      <c r="E35" s="9" t="s">
        <v>41</v>
      </c>
      <c r="F35" s="16" t="s">
        <v>47</v>
      </c>
      <c r="G35" s="17"/>
      <c r="I35" s="11">
        <v>1</v>
      </c>
      <c r="J35" s="9">
        <v>1</v>
      </c>
      <c r="K35" s="9">
        <v>1</v>
      </c>
      <c r="L35" s="12">
        <v>1</v>
      </c>
      <c r="M35" s="10" t="s">
        <v>47</v>
      </c>
      <c r="O35" s="11">
        <v>0</v>
      </c>
      <c r="P35" s="9">
        <v>0</v>
      </c>
      <c r="Q35" s="9">
        <v>0</v>
      </c>
      <c r="R35" s="12">
        <v>0</v>
      </c>
      <c r="S35" s="10">
        <v>903.68</v>
      </c>
      <c r="T35" s="9">
        <v>225.92</v>
      </c>
      <c r="U35" s="11">
        <v>77</v>
      </c>
      <c r="V35" s="9">
        <v>77</v>
      </c>
      <c r="W35" s="9">
        <v>77</v>
      </c>
      <c r="X35" s="12">
        <v>77</v>
      </c>
      <c r="Y35" s="13">
        <f>T35*U35</f>
        <v>17395.84</v>
      </c>
      <c r="Z35" s="13">
        <f>T35*V35</f>
        <v>17395.84</v>
      </c>
      <c r="AA35" s="13">
        <f>T35*W35</f>
        <v>17395.84</v>
      </c>
      <c r="AB35" s="13">
        <f>T35*X35</f>
        <v>17395.84</v>
      </c>
      <c r="AC35" s="14">
        <f>17395.84*12</f>
        <v>208750.08000000002</v>
      </c>
      <c r="AD35" s="14">
        <f>AC35</f>
        <v>208750.08000000002</v>
      </c>
      <c r="BH35" s="14"/>
    </row>
    <row r="36" spans="1:60" s="9" customFormat="1" x14ac:dyDescent="0.2">
      <c r="A36" s="9">
        <v>2</v>
      </c>
      <c r="B36" s="17" t="s">
        <v>68</v>
      </c>
      <c r="C36" s="17" t="s">
        <v>97</v>
      </c>
      <c r="D36" s="9" t="s">
        <v>34</v>
      </c>
      <c r="E36" s="9" t="s">
        <v>64</v>
      </c>
      <c r="F36" s="16" t="s">
        <v>47</v>
      </c>
      <c r="G36" s="17"/>
      <c r="I36" s="11">
        <v>1</v>
      </c>
      <c r="J36" s="9">
        <v>1</v>
      </c>
      <c r="K36" s="9">
        <v>1</v>
      </c>
      <c r="L36" s="12">
        <v>1</v>
      </c>
      <c r="M36" s="10">
        <v>0</v>
      </c>
      <c r="N36" s="9">
        <v>0</v>
      </c>
      <c r="O36" s="11">
        <v>0</v>
      </c>
      <c r="P36" s="9">
        <v>0</v>
      </c>
      <c r="Q36" s="9">
        <v>0</v>
      </c>
      <c r="R36" s="12">
        <v>0</v>
      </c>
      <c r="S36" s="10">
        <v>842.08</v>
      </c>
      <c r="T36" s="9">
        <v>210.52</v>
      </c>
      <c r="U36" s="11">
        <v>57</v>
      </c>
      <c r="V36" s="9">
        <v>57</v>
      </c>
      <c r="W36" s="9">
        <v>57</v>
      </c>
      <c r="X36" s="12">
        <v>57</v>
      </c>
      <c r="Y36" s="13">
        <f>T36*U36</f>
        <v>11999.640000000001</v>
      </c>
      <c r="Z36" s="13">
        <f>T36*V36</f>
        <v>11999.640000000001</v>
      </c>
      <c r="AA36" s="13">
        <f>T36*W36</f>
        <v>11999.640000000001</v>
      </c>
      <c r="AB36" s="13">
        <f>T36*X36</f>
        <v>11999.640000000001</v>
      </c>
      <c r="AC36" s="14">
        <f>11999.64*12</f>
        <v>143995.68</v>
      </c>
      <c r="AD36" s="14">
        <f>AC36</f>
        <v>143995.68</v>
      </c>
      <c r="BH36" s="14"/>
    </row>
    <row r="37" spans="1:60" s="9" customFormat="1" x14ac:dyDescent="0.2">
      <c r="A37" s="9">
        <v>3</v>
      </c>
      <c r="B37" s="9" t="s">
        <v>69</v>
      </c>
      <c r="D37" s="9" t="s">
        <v>34</v>
      </c>
      <c r="E37" s="9" t="s">
        <v>35</v>
      </c>
      <c r="F37" s="16" t="s">
        <v>47</v>
      </c>
      <c r="G37" s="17"/>
      <c r="I37" s="11">
        <v>1</v>
      </c>
      <c r="J37" s="9">
        <v>1</v>
      </c>
      <c r="K37" s="9">
        <v>1</v>
      </c>
      <c r="L37" s="12">
        <v>1</v>
      </c>
      <c r="M37" s="10"/>
      <c r="N37" s="9">
        <v>0</v>
      </c>
      <c r="O37" s="11">
        <v>0</v>
      </c>
      <c r="P37" s="9">
        <v>0</v>
      </c>
      <c r="Q37" s="9">
        <v>0</v>
      </c>
      <c r="R37" s="12">
        <v>0</v>
      </c>
      <c r="S37" s="10"/>
      <c r="U37" s="11"/>
      <c r="X37" s="12"/>
      <c r="Y37" s="14">
        <v>10000</v>
      </c>
      <c r="Z37" s="14">
        <v>10000</v>
      </c>
      <c r="AA37" s="14">
        <v>10000</v>
      </c>
      <c r="AB37" s="14">
        <v>10000</v>
      </c>
      <c r="AC37" s="14">
        <f>10000*12</f>
        <v>120000</v>
      </c>
      <c r="AD37" s="14">
        <f>AC37</f>
        <v>120000</v>
      </c>
      <c r="BH37" s="14"/>
    </row>
    <row r="38" spans="1:60" s="9" customFormat="1" x14ac:dyDescent="0.2">
      <c r="A38" s="9">
        <v>4</v>
      </c>
      <c r="B38" s="9" t="s">
        <v>74</v>
      </c>
      <c r="C38" s="9" t="s">
        <v>75</v>
      </c>
      <c r="D38" s="9" t="s">
        <v>34</v>
      </c>
      <c r="E38" s="9" t="s">
        <v>38</v>
      </c>
      <c r="F38" s="16" t="s">
        <v>47</v>
      </c>
      <c r="G38" s="17"/>
      <c r="I38" s="11">
        <v>0</v>
      </c>
      <c r="J38" s="9">
        <v>0</v>
      </c>
      <c r="K38" s="9">
        <v>0</v>
      </c>
      <c r="L38" s="12">
        <v>0</v>
      </c>
      <c r="M38" s="10">
        <v>0</v>
      </c>
      <c r="N38" s="9">
        <v>0</v>
      </c>
      <c r="O38" s="11">
        <v>0</v>
      </c>
      <c r="P38" s="9">
        <v>0</v>
      </c>
      <c r="Q38" s="9">
        <v>0</v>
      </c>
      <c r="R38" s="12">
        <v>0</v>
      </c>
      <c r="S38" s="10">
        <v>716.68</v>
      </c>
      <c r="T38" s="9">
        <v>179.17</v>
      </c>
      <c r="U38" s="11">
        <v>30</v>
      </c>
      <c r="V38" s="9">
        <v>30</v>
      </c>
      <c r="W38" s="9">
        <v>30</v>
      </c>
      <c r="X38" s="12">
        <v>30</v>
      </c>
      <c r="Y38" s="13">
        <f>T38*U38</f>
        <v>5375.0999999999995</v>
      </c>
      <c r="Z38" s="13">
        <f>T38*V38</f>
        <v>5375.0999999999995</v>
      </c>
      <c r="AA38" s="13">
        <f>T38*W38</f>
        <v>5375.0999999999995</v>
      </c>
      <c r="AB38" s="13">
        <f>T38*X38</f>
        <v>5375.0999999999995</v>
      </c>
      <c r="AC38" s="14">
        <f>5375.1*12</f>
        <v>64501.200000000004</v>
      </c>
      <c r="AD38" s="14">
        <f>AC38</f>
        <v>64501.200000000004</v>
      </c>
      <c r="BH38" s="14"/>
    </row>
    <row r="39" spans="1:60" s="9" customFormat="1" x14ac:dyDescent="0.2">
      <c r="B39" s="9" t="s">
        <v>76</v>
      </c>
      <c r="C39" s="9" t="s">
        <v>77</v>
      </c>
      <c r="D39" s="9" t="s">
        <v>34</v>
      </c>
      <c r="E39" s="9" t="s">
        <v>34</v>
      </c>
      <c r="F39" s="16" t="s">
        <v>47</v>
      </c>
      <c r="G39" s="17"/>
      <c r="I39" s="11">
        <v>0</v>
      </c>
      <c r="J39" s="9">
        <v>0</v>
      </c>
      <c r="K39" s="9">
        <v>0</v>
      </c>
      <c r="L39" s="12">
        <v>0</v>
      </c>
      <c r="M39" s="10">
        <v>0</v>
      </c>
      <c r="N39" s="9">
        <v>0</v>
      </c>
      <c r="O39" s="11">
        <v>0</v>
      </c>
      <c r="P39" s="9">
        <v>0</v>
      </c>
      <c r="Q39" s="9">
        <v>0</v>
      </c>
      <c r="R39" s="12">
        <v>0</v>
      </c>
      <c r="S39" s="10">
        <v>716.68</v>
      </c>
      <c r="T39" s="9">
        <v>179.17</v>
      </c>
      <c r="U39" s="11">
        <v>5</v>
      </c>
      <c r="V39" s="9">
        <v>5</v>
      </c>
      <c r="W39" s="9">
        <v>5</v>
      </c>
      <c r="X39" s="12">
        <v>5</v>
      </c>
      <c r="Y39" s="13">
        <f>T39*U39</f>
        <v>895.84999999999991</v>
      </c>
      <c r="Z39" s="13">
        <f>T39*V39</f>
        <v>895.84999999999991</v>
      </c>
      <c r="AA39" s="13">
        <f>T39*W39</f>
        <v>895.84999999999991</v>
      </c>
      <c r="AB39" s="13">
        <f>T39*X39</f>
        <v>895.84999999999991</v>
      </c>
      <c r="AC39" s="14">
        <f>895.85*12</f>
        <v>10750.2</v>
      </c>
      <c r="AD39" s="14">
        <f>AC39</f>
        <v>10750.2</v>
      </c>
      <c r="BH39" s="14"/>
    </row>
    <row r="40" spans="1:60" s="9" customFormat="1" x14ac:dyDescent="0.2">
      <c r="F40" s="10"/>
      <c r="I40" s="11"/>
      <c r="L40" s="12"/>
      <c r="M40" s="10"/>
      <c r="O40" s="11"/>
      <c r="R40" s="12"/>
      <c r="S40" s="10"/>
      <c r="U40" s="11"/>
      <c r="X40" s="12"/>
      <c r="Y40" s="14"/>
      <c r="Z40" s="14"/>
      <c r="AA40" s="14"/>
      <c r="AB40" s="14"/>
      <c r="AC40" s="14"/>
      <c r="AD40" s="14"/>
      <c r="BH40" s="14"/>
    </row>
    <row r="41" spans="1:60" ht="15.75" x14ac:dyDescent="0.25">
      <c r="B41" s="20" t="s">
        <v>91</v>
      </c>
      <c r="S41" s="4"/>
      <c r="U41" s="5" t="s">
        <v>0</v>
      </c>
      <c r="Y41" s="19"/>
      <c r="Z41" s="19"/>
      <c r="AA41" s="19"/>
      <c r="AB41" s="19"/>
      <c r="AC41" s="19"/>
    </row>
    <row r="42" spans="1:60" x14ac:dyDescent="0.2">
      <c r="A42" s="1">
        <v>1</v>
      </c>
      <c r="B42" s="1" t="s">
        <v>92</v>
      </c>
      <c r="D42" s="1" t="s">
        <v>79</v>
      </c>
      <c r="E42" s="1" t="s">
        <v>38</v>
      </c>
      <c r="F42" s="4">
        <v>3500</v>
      </c>
      <c r="H42" s="1">
        <v>875</v>
      </c>
      <c r="I42" s="5">
        <v>1</v>
      </c>
      <c r="J42" s="1">
        <v>1</v>
      </c>
      <c r="K42" s="1">
        <v>1</v>
      </c>
      <c r="L42" s="6">
        <v>1</v>
      </c>
      <c r="M42" s="4">
        <v>1399</v>
      </c>
      <c r="N42" s="1">
        <v>349.75</v>
      </c>
      <c r="O42" s="5">
        <v>0</v>
      </c>
      <c r="P42" s="5">
        <v>0</v>
      </c>
      <c r="Q42" s="5">
        <v>0</v>
      </c>
      <c r="R42" s="5">
        <v>0</v>
      </c>
      <c r="S42" s="4">
        <v>1650</v>
      </c>
      <c r="T42" s="9">
        <f>S42/4</f>
        <v>412.5</v>
      </c>
      <c r="U42" s="5">
        <v>9</v>
      </c>
      <c r="V42" s="1">
        <v>9</v>
      </c>
      <c r="W42" s="1">
        <v>9</v>
      </c>
      <c r="X42" s="6">
        <v>9</v>
      </c>
      <c r="Y42" s="13">
        <f>T42*U42</f>
        <v>3712.5</v>
      </c>
      <c r="Z42" s="13">
        <f>T42*V42</f>
        <v>3712.5</v>
      </c>
      <c r="AA42" s="13">
        <f>T42*W42</f>
        <v>3712.5</v>
      </c>
      <c r="AB42" s="13">
        <f>T42*X42</f>
        <v>3712.5</v>
      </c>
      <c r="AC42" s="14">
        <f>Y42+Z42+AA42+AB42</f>
        <v>14850</v>
      </c>
      <c r="AD42" s="14">
        <f>SUM(Y42:AB42)</f>
        <v>14850</v>
      </c>
    </row>
    <row r="43" spans="1:60" x14ac:dyDescent="0.2">
      <c r="A43" s="1">
        <v>2</v>
      </c>
      <c r="B43" s="1" t="s">
        <v>80</v>
      </c>
      <c r="C43" s="17" t="s">
        <v>81</v>
      </c>
      <c r="D43" s="1" t="s">
        <v>79</v>
      </c>
      <c r="E43" s="1" t="s">
        <v>55</v>
      </c>
      <c r="F43" s="4">
        <v>3500</v>
      </c>
      <c r="I43" s="5">
        <v>1</v>
      </c>
      <c r="J43" s="1">
        <v>1</v>
      </c>
      <c r="K43" s="1">
        <v>1</v>
      </c>
      <c r="L43" s="6">
        <v>1</v>
      </c>
      <c r="O43" s="5">
        <v>1</v>
      </c>
      <c r="P43" s="1">
        <v>1</v>
      </c>
      <c r="Q43" s="1">
        <v>1</v>
      </c>
      <c r="R43" s="6">
        <v>1</v>
      </c>
      <c r="S43" s="4"/>
      <c r="T43" s="9">
        <f>S43/4</f>
        <v>0</v>
      </c>
      <c r="U43" s="5">
        <f>17+2</f>
        <v>19</v>
      </c>
      <c r="V43" s="5">
        <f>17+2</f>
        <v>19</v>
      </c>
      <c r="W43" s="5">
        <f>17+2</f>
        <v>19</v>
      </c>
      <c r="X43" s="5">
        <f>17+2</f>
        <v>19</v>
      </c>
      <c r="Y43" s="13">
        <v>0</v>
      </c>
      <c r="Z43" s="13">
        <v>0</v>
      </c>
      <c r="AA43" s="13">
        <v>8550</v>
      </c>
      <c r="AB43" s="13">
        <v>8550</v>
      </c>
      <c r="AC43" s="14">
        <f>Y43+Z43+AA43+AB43</f>
        <v>17100</v>
      </c>
      <c r="AD43" s="14">
        <f>SUM(Y43:AB43)</f>
        <v>17100</v>
      </c>
      <c r="AG43" s="1" t="s">
        <v>0</v>
      </c>
      <c r="AH43" s="1" t="s">
        <v>0</v>
      </c>
    </row>
    <row r="44" spans="1:60" x14ac:dyDescent="0.2">
      <c r="S44" s="4"/>
      <c r="Y44" s="19"/>
      <c r="Z44" s="19"/>
      <c r="AA44" s="19"/>
      <c r="AB44" s="19"/>
      <c r="AC44" s="19"/>
    </row>
    <row r="45" spans="1:60" ht="15.75" x14ac:dyDescent="0.25">
      <c r="B45" s="20" t="s">
        <v>82</v>
      </c>
      <c r="C45" s="1" t="s">
        <v>0</v>
      </c>
      <c r="S45" s="4"/>
      <c r="Y45" s="19"/>
      <c r="Z45" s="19"/>
      <c r="AA45" s="19"/>
      <c r="AB45" s="19"/>
      <c r="AC45" s="19"/>
    </row>
    <row r="46" spans="1:60" x14ac:dyDescent="0.2">
      <c r="A46" s="1">
        <v>1</v>
      </c>
      <c r="B46" s="1" t="s">
        <v>83</v>
      </c>
      <c r="D46" s="1" t="s">
        <v>34</v>
      </c>
      <c r="E46" s="1" t="s">
        <v>35</v>
      </c>
      <c r="F46" s="4">
        <v>0</v>
      </c>
      <c r="H46" s="1">
        <v>0</v>
      </c>
      <c r="I46" s="11">
        <v>0</v>
      </c>
      <c r="J46" s="9">
        <v>0</v>
      </c>
      <c r="K46" s="9">
        <v>0</v>
      </c>
      <c r="L46" s="12">
        <v>0</v>
      </c>
      <c r="M46" s="4">
        <v>0</v>
      </c>
      <c r="N46" s="1">
        <v>0</v>
      </c>
      <c r="O46" s="5">
        <v>0</v>
      </c>
      <c r="P46" s="1">
        <v>0</v>
      </c>
      <c r="Q46" s="1">
        <v>0</v>
      </c>
      <c r="R46" s="6">
        <v>0</v>
      </c>
      <c r="S46" s="4">
        <v>1850</v>
      </c>
      <c r="T46" s="9">
        <f>S46/4</f>
        <v>462.5</v>
      </c>
      <c r="U46" s="5">
        <f>9+2</f>
        <v>11</v>
      </c>
      <c r="V46" s="5">
        <f>9+2</f>
        <v>11</v>
      </c>
      <c r="W46" s="5">
        <f>9+2</f>
        <v>11</v>
      </c>
      <c r="X46" s="5">
        <f>9+2</f>
        <v>11</v>
      </c>
      <c r="Y46" s="13">
        <f>T46*U46</f>
        <v>5087.5</v>
      </c>
      <c r="Z46" s="13">
        <f>T46*V46</f>
        <v>5087.5</v>
      </c>
      <c r="AA46" s="13">
        <f>T46*W46</f>
        <v>5087.5</v>
      </c>
      <c r="AB46" s="13">
        <f>T46*X46</f>
        <v>5087.5</v>
      </c>
      <c r="AC46" s="14">
        <f>Y46+Z46+AA46+AB46</f>
        <v>20350</v>
      </c>
      <c r="AD46" s="14">
        <f>SUM(Y46:AB46)</f>
        <v>20350</v>
      </c>
    </row>
    <row r="47" spans="1:60" x14ac:dyDescent="0.2">
      <c r="A47" s="1">
        <v>2</v>
      </c>
      <c r="B47" s="1" t="s">
        <v>84</v>
      </c>
      <c r="C47" s="1" t="s">
        <v>0</v>
      </c>
      <c r="D47" s="1" t="s">
        <v>34</v>
      </c>
      <c r="E47" s="1" t="s">
        <v>38</v>
      </c>
      <c r="F47" s="4">
        <v>0</v>
      </c>
      <c r="H47" s="1">
        <v>0</v>
      </c>
      <c r="I47" s="11">
        <v>0</v>
      </c>
      <c r="J47" s="9">
        <v>0</v>
      </c>
      <c r="K47" s="9">
        <v>0</v>
      </c>
      <c r="L47" s="12">
        <v>0</v>
      </c>
      <c r="M47" s="1">
        <v>0</v>
      </c>
      <c r="N47" s="1">
        <v>0</v>
      </c>
      <c r="O47" s="5">
        <v>0</v>
      </c>
      <c r="P47" s="1">
        <v>0</v>
      </c>
      <c r="Q47" s="1">
        <v>0</v>
      </c>
      <c r="R47" s="6">
        <v>0</v>
      </c>
      <c r="S47" s="4">
        <v>2200</v>
      </c>
      <c r="T47" s="9">
        <f>S47/4</f>
        <v>550</v>
      </c>
      <c r="U47" s="5">
        <v>13</v>
      </c>
      <c r="V47" s="1">
        <v>13</v>
      </c>
      <c r="W47" s="1">
        <v>13</v>
      </c>
      <c r="X47" s="6">
        <v>13</v>
      </c>
      <c r="Y47" s="13">
        <f>T47*U47</f>
        <v>7150</v>
      </c>
      <c r="Z47" s="13">
        <f>T47*V47</f>
        <v>7150</v>
      </c>
      <c r="AA47" s="13">
        <f>T47*W47</f>
        <v>7150</v>
      </c>
      <c r="AB47" s="13">
        <f>T47*X47</f>
        <v>7150</v>
      </c>
      <c r="AC47" s="14">
        <f>Y47+Z47+AA47+AB47</f>
        <v>28600</v>
      </c>
      <c r="AD47" s="14">
        <f>SUM(Y47:AB47)</f>
        <v>28600</v>
      </c>
      <c r="AG47" s="1" t="s">
        <v>0</v>
      </c>
    </row>
    <row r="48" spans="1:60" x14ac:dyDescent="0.2">
      <c r="A48" s="1">
        <v>3</v>
      </c>
      <c r="B48" s="1" t="s">
        <v>85</v>
      </c>
      <c r="C48" s="1" t="s">
        <v>0</v>
      </c>
      <c r="D48" s="1" t="s">
        <v>34</v>
      </c>
      <c r="E48" s="1" t="s">
        <v>38</v>
      </c>
      <c r="F48" s="4">
        <v>0</v>
      </c>
      <c r="H48" s="1">
        <v>0</v>
      </c>
      <c r="I48" s="11">
        <v>0</v>
      </c>
      <c r="J48" s="9">
        <v>0</v>
      </c>
      <c r="K48" s="9">
        <v>0</v>
      </c>
      <c r="L48" s="12">
        <v>0</v>
      </c>
      <c r="M48" s="4">
        <v>0</v>
      </c>
      <c r="N48" s="1">
        <v>0</v>
      </c>
      <c r="O48" s="5">
        <v>0</v>
      </c>
      <c r="P48" s="1">
        <v>0</v>
      </c>
      <c r="Q48" s="1">
        <v>0</v>
      </c>
      <c r="R48" s="6">
        <v>0</v>
      </c>
      <c r="S48" s="4">
        <v>1950</v>
      </c>
      <c r="T48" s="9">
        <f>S48/4</f>
        <v>487.5</v>
      </c>
      <c r="U48" s="5">
        <v>2</v>
      </c>
      <c r="V48" s="1">
        <v>2</v>
      </c>
      <c r="W48" s="1">
        <v>2</v>
      </c>
      <c r="X48" s="6">
        <v>2</v>
      </c>
      <c r="Y48" s="13">
        <f>T48*U48</f>
        <v>975</v>
      </c>
      <c r="Z48" s="13">
        <f>T48*V48</f>
        <v>975</v>
      </c>
      <c r="AA48" s="13">
        <f>T48*W48</f>
        <v>975</v>
      </c>
      <c r="AB48" s="13">
        <f>T48*X48</f>
        <v>975</v>
      </c>
      <c r="AC48" s="14">
        <f>Y48+Z48+AA48+AB48</f>
        <v>3900</v>
      </c>
      <c r="AD48" s="14">
        <f>SUM(Y48:AB48)</f>
        <v>3900</v>
      </c>
    </row>
    <row r="49" spans="1:30" x14ac:dyDescent="0.2">
      <c r="A49" s="1">
        <v>4</v>
      </c>
      <c r="B49" s="9" t="s">
        <v>86</v>
      </c>
      <c r="C49" s="9"/>
      <c r="D49" s="9" t="s">
        <v>34</v>
      </c>
      <c r="E49" s="9" t="s">
        <v>35</v>
      </c>
      <c r="F49" s="10">
        <v>0</v>
      </c>
      <c r="G49" s="9"/>
      <c r="H49" s="9">
        <f>F49/4</f>
        <v>0</v>
      </c>
      <c r="I49" s="11">
        <v>0</v>
      </c>
      <c r="J49" s="9">
        <v>0</v>
      </c>
      <c r="K49" s="9">
        <v>0</v>
      </c>
      <c r="L49" s="12">
        <v>0</v>
      </c>
      <c r="M49" s="10">
        <v>0</v>
      </c>
      <c r="N49" s="9">
        <f>M49/4</f>
        <v>0</v>
      </c>
      <c r="O49" s="5">
        <v>0</v>
      </c>
      <c r="P49" s="1">
        <v>0</v>
      </c>
      <c r="Q49" s="1">
        <v>0</v>
      </c>
      <c r="R49" s="6">
        <v>0</v>
      </c>
      <c r="S49" s="10">
        <v>2200</v>
      </c>
      <c r="T49" s="9">
        <f>S49/4</f>
        <v>550</v>
      </c>
      <c r="U49" s="11">
        <f>5+4</f>
        <v>9</v>
      </c>
      <c r="V49" s="11">
        <f>5+4</f>
        <v>9</v>
      </c>
      <c r="W49" s="11">
        <f>5+4</f>
        <v>9</v>
      </c>
      <c r="X49" s="11">
        <f>5+4</f>
        <v>9</v>
      </c>
      <c r="Y49" s="13">
        <f>T49*U49</f>
        <v>4950</v>
      </c>
      <c r="Z49" s="13">
        <f>T49*V49</f>
        <v>4950</v>
      </c>
      <c r="AA49" s="13">
        <f>T49*W49</f>
        <v>4950</v>
      </c>
      <c r="AB49" s="13">
        <f>T49*X49</f>
        <v>4950</v>
      </c>
      <c r="AC49" s="14">
        <f>Y49+Z49+AA49+AB49</f>
        <v>19800</v>
      </c>
      <c r="AD49" s="14">
        <f>SUM(Y49:AB49)</f>
        <v>19800</v>
      </c>
    </row>
    <row r="50" spans="1:30" s="6" customFormat="1" x14ac:dyDescent="0.2">
      <c r="A50" s="6">
        <v>5</v>
      </c>
      <c r="B50" s="6" t="s">
        <v>87</v>
      </c>
      <c r="C50" s="6" t="s">
        <v>88</v>
      </c>
      <c r="D50" s="9" t="s">
        <v>34</v>
      </c>
      <c r="E50" s="6" t="s">
        <v>89</v>
      </c>
      <c r="F50" s="16" t="s">
        <v>47</v>
      </c>
      <c r="G50" s="17"/>
      <c r="H50" s="1">
        <v>0</v>
      </c>
      <c r="I50" s="5">
        <v>0</v>
      </c>
      <c r="J50" s="1">
        <v>0</v>
      </c>
      <c r="K50" s="1">
        <v>0</v>
      </c>
      <c r="L50" s="6">
        <v>0</v>
      </c>
      <c r="M50" s="4">
        <v>0</v>
      </c>
      <c r="N50" s="1">
        <v>0</v>
      </c>
      <c r="O50" s="5">
        <v>0</v>
      </c>
      <c r="P50" s="1">
        <v>0</v>
      </c>
      <c r="Q50" s="1">
        <v>0</v>
      </c>
      <c r="R50" s="6">
        <v>0</v>
      </c>
      <c r="S50" s="4"/>
      <c r="T50" s="1"/>
      <c r="U50" s="5">
        <v>69</v>
      </c>
      <c r="V50" s="1">
        <v>69</v>
      </c>
      <c r="W50" s="1">
        <v>69</v>
      </c>
      <c r="X50" s="6">
        <v>69</v>
      </c>
      <c r="Y50" s="19">
        <v>0</v>
      </c>
      <c r="Z50" s="19">
        <v>0</v>
      </c>
      <c r="AA50" s="19">
        <v>0</v>
      </c>
      <c r="AB50" s="19">
        <v>0</v>
      </c>
      <c r="AC50" s="14">
        <v>80000</v>
      </c>
      <c r="AD50" s="14">
        <f>AC50</f>
        <v>80000</v>
      </c>
    </row>
    <row r="51" spans="1:30" x14ac:dyDescent="0.2">
      <c r="S51" s="4"/>
    </row>
    <row r="52" spans="1:30" x14ac:dyDescent="0.2">
      <c r="S52" s="4"/>
    </row>
    <row r="53" spans="1:30" x14ac:dyDescent="0.2">
      <c r="S53" s="4"/>
    </row>
    <row r="54" spans="1:30" x14ac:dyDescent="0.2">
      <c r="S54" s="4"/>
    </row>
    <row r="55" spans="1:30" x14ac:dyDescent="0.2">
      <c r="S55" s="4"/>
    </row>
    <row r="56" spans="1:30" x14ac:dyDescent="0.2">
      <c r="S56" s="4"/>
    </row>
    <row r="57" spans="1:30" x14ac:dyDescent="0.2">
      <c r="S57" s="4"/>
    </row>
    <row r="58" spans="1:30" s="6" customFormat="1" x14ac:dyDescent="0.2">
      <c r="F58" s="4"/>
      <c r="G58" s="1"/>
      <c r="H58" s="1"/>
      <c r="I58" s="5"/>
      <c r="J58" s="1"/>
      <c r="K58" s="1"/>
      <c r="M58" s="4"/>
      <c r="N58" s="1"/>
      <c r="O58" s="5"/>
      <c r="P58" s="1"/>
      <c r="Q58" s="1"/>
      <c r="S58" s="4"/>
      <c r="T58" s="1"/>
      <c r="U58" s="5"/>
      <c r="V58" s="1"/>
      <c r="W58" s="1" t="s">
        <v>0</v>
      </c>
      <c r="Y58" s="1"/>
      <c r="Z58" s="1"/>
      <c r="AA58" s="1"/>
      <c r="AB58" s="1"/>
      <c r="AC58" s="1"/>
    </row>
    <row r="59" spans="1:30" x14ac:dyDescent="0.2">
      <c r="S59" s="4"/>
    </row>
    <row r="60" spans="1:30" s="6" customFormat="1" x14ac:dyDescent="0.2">
      <c r="B60" s="1"/>
      <c r="C60" s="1"/>
      <c r="D60" s="1"/>
      <c r="E60" s="1"/>
      <c r="F60" s="4"/>
      <c r="G60" s="1"/>
      <c r="H60" s="1"/>
      <c r="I60" s="5"/>
      <c r="J60" s="1"/>
      <c r="K60" s="1"/>
      <c r="M60" s="4"/>
      <c r="N60" s="1"/>
      <c r="O60" s="5"/>
      <c r="P60" s="1"/>
      <c r="Q60" s="1"/>
      <c r="S60" s="4"/>
      <c r="T60" s="1"/>
      <c r="U60" s="5"/>
      <c r="V60" s="1"/>
      <c r="W60" s="1"/>
    </row>
    <row r="61" spans="1:30" s="6" customFormat="1" x14ac:dyDescent="0.2">
      <c r="B61" s="1"/>
      <c r="C61" s="1"/>
      <c r="D61" s="1"/>
      <c r="E61" s="1"/>
      <c r="F61" s="4"/>
      <c r="G61" s="1"/>
      <c r="H61" s="1"/>
      <c r="I61" s="5"/>
      <c r="J61" s="1"/>
      <c r="K61" s="1"/>
      <c r="M61" s="4"/>
      <c r="N61" s="1"/>
      <c r="O61" s="5"/>
      <c r="P61" s="1"/>
      <c r="Q61" s="1"/>
      <c r="S61" s="4"/>
      <c r="T61" s="1"/>
      <c r="U61" s="5"/>
      <c r="V61" s="1"/>
      <c r="W61" s="1"/>
    </row>
    <row r="62" spans="1:30" s="6" customFormat="1" x14ac:dyDescent="0.2">
      <c r="B62" s="1"/>
      <c r="C62" s="1"/>
      <c r="D62" s="1"/>
      <c r="E62" s="1"/>
      <c r="F62" s="4"/>
      <c r="G62" s="1"/>
      <c r="H62" s="1"/>
      <c r="I62" s="5"/>
      <c r="J62" s="1"/>
      <c r="K62" s="1"/>
      <c r="M62" s="4"/>
      <c r="N62" s="1"/>
      <c r="O62" s="5"/>
      <c r="P62" s="1"/>
      <c r="Q62" s="1"/>
      <c r="S62" s="4"/>
      <c r="T62" s="1"/>
      <c r="U62" s="5"/>
      <c r="V62" s="1"/>
      <c r="W62" s="1"/>
    </row>
    <row r="63" spans="1:30" s="6" customFormat="1" x14ac:dyDescent="0.2">
      <c r="B63" s="1"/>
      <c r="C63" s="1"/>
      <c r="D63" s="1"/>
      <c r="E63" s="1"/>
      <c r="F63" s="4"/>
      <c r="G63" s="1"/>
      <c r="H63" s="1"/>
      <c r="I63" s="5"/>
      <c r="J63" s="1"/>
      <c r="K63" s="1"/>
      <c r="M63" s="4"/>
      <c r="N63" s="1"/>
      <c r="O63" s="5"/>
      <c r="P63" s="1"/>
      <c r="Q63" s="1"/>
      <c r="S63" s="4"/>
      <c r="T63" s="1"/>
      <c r="U63" s="5"/>
      <c r="V63" s="1"/>
      <c r="W63" s="1"/>
    </row>
    <row r="64" spans="1:30" s="6" customFormat="1" x14ac:dyDescent="0.2">
      <c r="B64" s="1"/>
      <c r="C64" s="1"/>
      <c r="D64" s="1"/>
      <c r="E64" s="1"/>
      <c r="F64" s="4"/>
      <c r="G64" s="1"/>
      <c r="H64" s="1"/>
      <c r="I64" s="5"/>
      <c r="J64" s="1"/>
      <c r="K64" s="1"/>
      <c r="M64" s="4"/>
      <c r="N64" s="1"/>
      <c r="O64" s="5"/>
      <c r="P64" s="1"/>
      <c r="Q64" s="1"/>
      <c r="S64" s="4"/>
      <c r="T64" s="1"/>
      <c r="U64" s="5"/>
      <c r="V64" s="1"/>
      <c r="W64" s="1"/>
    </row>
    <row r="65" spans="2:23" s="6" customFormat="1" x14ac:dyDescent="0.2">
      <c r="B65" s="1"/>
      <c r="C65" s="1"/>
      <c r="D65" s="1"/>
      <c r="E65" s="1"/>
      <c r="F65" s="4"/>
      <c r="G65" s="1"/>
      <c r="H65" s="1"/>
      <c r="I65" s="5"/>
      <c r="J65" s="1"/>
      <c r="K65" s="1"/>
      <c r="M65" s="4"/>
      <c r="N65" s="1"/>
      <c r="O65" s="5"/>
      <c r="P65" s="1"/>
      <c r="Q65" s="1"/>
      <c r="S65" s="4"/>
      <c r="T65" s="1"/>
      <c r="U65" s="5"/>
      <c r="V65" s="1"/>
      <c r="W65" s="1"/>
    </row>
    <row r="66" spans="2:23" s="6" customFormat="1" x14ac:dyDescent="0.2">
      <c r="B66" s="1"/>
      <c r="C66" s="1"/>
      <c r="D66" s="1"/>
      <c r="E66" s="1"/>
      <c r="F66" s="4"/>
      <c r="G66" s="1"/>
      <c r="H66" s="1"/>
      <c r="I66" s="5"/>
      <c r="J66" s="1"/>
      <c r="K66" s="1"/>
      <c r="M66" s="4"/>
      <c r="N66" s="1"/>
      <c r="O66" s="5"/>
      <c r="P66" s="1"/>
      <c r="Q66" s="1"/>
      <c r="S66" s="4"/>
      <c r="T66" s="1"/>
      <c r="U66" s="5"/>
      <c r="V66" s="1"/>
      <c r="W66" s="1"/>
    </row>
    <row r="67" spans="2:23" s="6" customFormat="1" x14ac:dyDescent="0.2">
      <c r="B67" s="1"/>
      <c r="C67" s="1"/>
      <c r="D67" s="1"/>
      <c r="E67" s="1"/>
      <c r="F67" s="4"/>
      <c r="G67" s="1"/>
      <c r="H67" s="1"/>
      <c r="I67" s="5"/>
      <c r="J67" s="1"/>
      <c r="K67" s="1"/>
      <c r="M67" s="4"/>
      <c r="N67" s="1"/>
      <c r="O67" s="5"/>
      <c r="P67" s="1"/>
      <c r="Q67" s="1"/>
      <c r="S67" s="4"/>
      <c r="T67" s="1"/>
      <c r="U67" s="5"/>
      <c r="V67" s="1"/>
      <c r="W67" s="1"/>
    </row>
    <row r="68" spans="2:23" s="6" customFormat="1" x14ac:dyDescent="0.2">
      <c r="B68" s="1"/>
      <c r="C68" s="1"/>
      <c r="D68" s="1"/>
      <c r="E68" s="1"/>
      <c r="F68" s="4"/>
      <c r="G68" s="1"/>
      <c r="H68" s="1"/>
      <c r="I68" s="5"/>
      <c r="J68" s="1"/>
      <c r="K68" s="1"/>
      <c r="M68" s="4"/>
      <c r="N68" s="1"/>
      <c r="O68" s="5"/>
      <c r="P68" s="1"/>
      <c r="Q68" s="1"/>
      <c r="S68" s="4"/>
      <c r="T68" s="1"/>
      <c r="U68" s="5"/>
      <c r="V68" s="1"/>
      <c r="W68" s="1"/>
    </row>
    <row r="69" spans="2:23" s="6" customFormat="1" x14ac:dyDescent="0.2">
      <c r="B69" s="1"/>
      <c r="C69" s="1"/>
      <c r="D69" s="1"/>
      <c r="E69" s="1"/>
      <c r="F69" s="4"/>
      <c r="G69" s="1"/>
      <c r="H69" s="1"/>
      <c r="I69" s="5"/>
      <c r="J69" s="1"/>
      <c r="K69" s="1"/>
      <c r="M69" s="4"/>
      <c r="N69" s="1"/>
      <c r="O69" s="5"/>
      <c r="P69" s="1"/>
      <c r="Q69" s="1"/>
      <c r="S69" s="4"/>
      <c r="T69" s="1"/>
      <c r="U69" s="5"/>
      <c r="V69" s="1"/>
      <c r="W69" s="1"/>
    </row>
    <row r="70" spans="2:23" s="6" customFormat="1" x14ac:dyDescent="0.2">
      <c r="B70" s="1"/>
      <c r="C70" s="1"/>
      <c r="D70" s="1"/>
      <c r="E70" s="1"/>
      <c r="F70" s="4"/>
      <c r="G70" s="1"/>
      <c r="H70" s="1"/>
      <c r="I70" s="5"/>
      <c r="J70" s="1"/>
      <c r="K70" s="1"/>
      <c r="M70" s="4"/>
      <c r="N70" s="1"/>
      <c r="O70" s="5"/>
      <c r="P70" s="1"/>
      <c r="Q70" s="1"/>
      <c r="S70" s="4"/>
      <c r="T70" s="1"/>
      <c r="U70" s="5"/>
      <c r="V70" s="1"/>
      <c r="W70" s="1"/>
    </row>
    <row r="71" spans="2:23" s="6" customFormat="1" x14ac:dyDescent="0.2">
      <c r="B71" s="1"/>
      <c r="C71" s="1"/>
      <c r="D71" s="1"/>
      <c r="E71" s="1"/>
      <c r="F71" s="4"/>
      <c r="G71" s="1"/>
      <c r="H71" s="1"/>
      <c r="I71" s="5"/>
      <c r="J71" s="1"/>
      <c r="K71" s="1"/>
      <c r="M71" s="4"/>
      <c r="N71" s="1"/>
      <c r="O71" s="5"/>
      <c r="P71" s="1"/>
      <c r="Q71" s="1"/>
      <c r="S71" s="4"/>
      <c r="T71" s="1"/>
      <c r="U71" s="5"/>
      <c r="V71" s="1"/>
      <c r="W71" s="1"/>
    </row>
    <row r="72" spans="2:23" s="6" customFormat="1" x14ac:dyDescent="0.2">
      <c r="B72" s="1"/>
      <c r="C72" s="1"/>
      <c r="D72" s="1"/>
      <c r="E72" s="1"/>
      <c r="F72" s="4"/>
      <c r="G72" s="1"/>
      <c r="H72" s="1"/>
      <c r="I72" s="5"/>
      <c r="J72" s="1"/>
      <c r="K72" s="1"/>
      <c r="M72" s="4"/>
      <c r="N72" s="1"/>
      <c r="O72" s="5"/>
      <c r="P72" s="1"/>
      <c r="Q72" s="1"/>
      <c r="S72" s="4"/>
      <c r="T72" s="1"/>
      <c r="U72" s="5"/>
      <c r="V72" s="1"/>
      <c r="W72" s="1"/>
    </row>
    <row r="73" spans="2:23" s="6" customFormat="1" x14ac:dyDescent="0.2">
      <c r="B73" s="1"/>
      <c r="C73" s="1"/>
      <c r="D73" s="1"/>
      <c r="E73" s="1"/>
      <c r="F73" s="4"/>
      <c r="G73" s="1"/>
      <c r="H73" s="1"/>
      <c r="I73" s="5"/>
      <c r="J73" s="1"/>
      <c r="K73" s="1"/>
      <c r="M73" s="4"/>
      <c r="N73" s="1"/>
      <c r="O73" s="5"/>
      <c r="P73" s="1"/>
      <c r="Q73" s="1"/>
      <c r="S73" s="4"/>
      <c r="T73" s="1"/>
      <c r="U73" s="5"/>
      <c r="V73" s="1"/>
      <c r="W73" s="1"/>
    </row>
    <row r="74" spans="2:23" s="6" customFormat="1" x14ac:dyDescent="0.2">
      <c r="B74" s="1"/>
      <c r="C74" s="1"/>
      <c r="D74" s="1"/>
      <c r="E74" s="1"/>
      <c r="F74" s="4"/>
      <c r="G74" s="1"/>
      <c r="H74" s="1"/>
      <c r="I74" s="5"/>
      <c r="J74" s="1"/>
      <c r="K74" s="1"/>
      <c r="M74" s="4"/>
      <c r="N74" s="1"/>
      <c r="O74" s="5"/>
      <c r="P74" s="1"/>
      <c r="Q74" s="1"/>
      <c r="S74" s="4"/>
      <c r="T74" s="1"/>
      <c r="U74" s="5"/>
      <c r="V74" s="1"/>
      <c r="W74" s="1"/>
    </row>
    <row r="75" spans="2:23" s="6" customFormat="1" x14ac:dyDescent="0.2">
      <c r="B75" s="1"/>
      <c r="C75" s="1"/>
      <c r="D75" s="1"/>
      <c r="E75" s="1"/>
      <c r="F75" s="4"/>
      <c r="G75" s="1"/>
      <c r="H75" s="1"/>
      <c r="I75" s="5"/>
      <c r="J75" s="1"/>
      <c r="K75" s="1"/>
      <c r="M75" s="4"/>
      <c r="N75" s="1"/>
      <c r="O75" s="5"/>
      <c r="P75" s="1"/>
      <c r="Q75" s="1"/>
      <c r="S75" s="4"/>
      <c r="T75" s="1"/>
      <c r="U75" s="5"/>
      <c r="V75" s="1"/>
      <c r="W75" s="1"/>
    </row>
    <row r="76" spans="2:23" s="6" customFormat="1" x14ac:dyDescent="0.2">
      <c r="B76" s="1"/>
      <c r="C76" s="1"/>
      <c r="D76" s="1"/>
      <c r="E76" s="1"/>
      <c r="F76" s="4"/>
      <c r="G76" s="1"/>
      <c r="H76" s="1"/>
      <c r="I76" s="5"/>
      <c r="J76" s="1"/>
      <c r="K76" s="1"/>
      <c r="M76" s="4"/>
      <c r="N76" s="1"/>
      <c r="O76" s="5"/>
      <c r="P76" s="1"/>
      <c r="Q76" s="1"/>
      <c r="S76" s="4"/>
      <c r="T76" s="1"/>
      <c r="U76" s="5"/>
      <c r="V76" s="1"/>
      <c r="W76" s="1"/>
    </row>
    <row r="77" spans="2:23" s="6" customFormat="1" x14ac:dyDescent="0.2">
      <c r="B77" s="1"/>
      <c r="C77" s="1"/>
      <c r="D77" s="1"/>
      <c r="E77" s="1"/>
      <c r="F77" s="4"/>
      <c r="G77" s="1"/>
      <c r="H77" s="1"/>
      <c r="I77" s="5"/>
      <c r="J77" s="1"/>
      <c r="K77" s="1"/>
      <c r="M77" s="4"/>
      <c r="N77" s="1"/>
      <c r="O77" s="5"/>
      <c r="P77" s="1"/>
      <c r="Q77" s="1"/>
      <c r="S77" s="4"/>
      <c r="T77" s="1"/>
      <c r="U77" s="5"/>
      <c r="V77" s="1"/>
      <c r="W77" s="1"/>
    </row>
    <row r="78" spans="2:23" s="6" customFormat="1" x14ac:dyDescent="0.2">
      <c r="B78" s="1"/>
      <c r="C78" s="1"/>
      <c r="D78" s="1"/>
      <c r="E78" s="1"/>
      <c r="F78" s="4"/>
      <c r="G78" s="1"/>
      <c r="H78" s="1"/>
      <c r="I78" s="5"/>
      <c r="J78" s="1"/>
      <c r="K78" s="1"/>
      <c r="M78" s="4"/>
      <c r="N78" s="1"/>
      <c r="O78" s="5"/>
      <c r="P78" s="1"/>
      <c r="Q78" s="1"/>
      <c r="S78" s="4"/>
      <c r="T78" s="1"/>
      <c r="U78" s="5"/>
      <c r="V78" s="1"/>
      <c r="W78" s="1"/>
    </row>
    <row r="79" spans="2:23" s="6" customFormat="1" x14ac:dyDescent="0.2">
      <c r="B79" s="1"/>
      <c r="C79" s="1"/>
      <c r="D79" s="1"/>
      <c r="E79" s="1"/>
      <c r="F79" s="4"/>
      <c r="G79" s="1"/>
      <c r="H79" s="1"/>
      <c r="I79" s="5"/>
      <c r="J79" s="1"/>
      <c r="K79" s="1"/>
      <c r="M79" s="4"/>
      <c r="N79" s="1"/>
      <c r="O79" s="5"/>
      <c r="P79" s="1"/>
      <c r="Q79" s="1"/>
      <c r="S79" s="4"/>
      <c r="T79" s="1"/>
      <c r="U79" s="5"/>
      <c r="V79" s="1"/>
      <c r="W79" s="1"/>
    </row>
    <row r="80" spans="2:23" s="6" customFormat="1" x14ac:dyDescent="0.2">
      <c r="B80" s="1"/>
      <c r="C80" s="1"/>
      <c r="D80" s="1"/>
      <c r="E80" s="1"/>
      <c r="F80" s="4"/>
      <c r="G80" s="1"/>
      <c r="H80" s="1"/>
      <c r="I80" s="5"/>
      <c r="J80" s="1"/>
      <c r="K80" s="1"/>
      <c r="M80" s="4"/>
      <c r="N80" s="1"/>
      <c r="O80" s="5"/>
      <c r="P80" s="1"/>
      <c r="Q80" s="1"/>
      <c r="S80" s="4"/>
      <c r="T80" s="1"/>
      <c r="U80" s="5"/>
      <c r="V80" s="1"/>
      <c r="W80" s="1"/>
    </row>
    <row r="81" spans="2:23" s="6" customFormat="1" x14ac:dyDescent="0.2">
      <c r="B81" s="1"/>
      <c r="C81" s="1"/>
      <c r="D81" s="1"/>
      <c r="E81" s="1"/>
      <c r="F81" s="4"/>
      <c r="G81" s="1"/>
      <c r="H81" s="1"/>
      <c r="I81" s="5"/>
      <c r="J81" s="1"/>
      <c r="K81" s="1"/>
      <c r="M81" s="4"/>
      <c r="N81" s="1"/>
      <c r="O81" s="5"/>
      <c r="P81" s="1"/>
      <c r="Q81" s="1"/>
      <c r="S81" s="4"/>
      <c r="T81" s="1"/>
      <c r="U81" s="5"/>
      <c r="V81" s="1"/>
      <c r="W81" s="1"/>
    </row>
    <row r="82" spans="2:23" s="6" customFormat="1" x14ac:dyDescent="0.2">
      <c r="B82" s="1"/>
      <c r="C82" s="1"/>
      <c r="D82" s="1"/>
      <c r="E82" s="1"/>
      <c r="F82" s="4"/>
      <c r="G82" s="1"/>
      <c r="H82" s="1"/>
      <c r="I82" s="5"/>
      <c r="J82" s="1"/>
      <c r="K82" s="1"/>
      <c r="M82" s="4"/>
      <c r="N82" s="1"/>
      <c r="O82" s="5"/>
      <c r="P82" s="1"/>
      <c r="Q82" s="1"/>
      <c r="S82" s="4"/>
      <c r="T82" s="1"/>
      <c r="U82" s="5"/>
      <c r="V82" s="1"/>
      <c r="W82" s="1"/>
    </row>
    <row r="83" spans="2:23" s="6" customFormat="1" x14ac:dyDescent="0.2">
      <c r="B83" s="1"/>
      <c r="C83" s="1"/>
      <c r="D83" s="1"/>
      <c r="E83" s="1"/>
      <c r="F83" s="4"/>
      <c r="G83" s="1"/>
      <c r="H83" s="1"/>
      <c r="I83" s="5"/>
      <c r="J83" s="1"/>
      <c r="K83" s="1"/>
      <c r="M83" s="4"/>
      <c r="N83" s="1"/>
      <c r="O83" s="5"/>
      <c r="P83" s="1"/>
      <c r="Q83" s="1"/>
      <c r="S83" s="4"/>
      <c r="T83" s="1"/>
      <c r="U83" s="5"/>
      <c r="V83" s="1"/>
      <c r="W83" s="1"/>
    </row>
    <row r="84" spans="2:23" s="6" customFormat="1" x14ac:dyDescent="0.2">
      <c r="B84" s="1"/>
      <c r="C84" s="1"/>
      <c r="D84" s="1"/>
      <c r="E84" s="1"/>
      <c r="F84" s="4"/>
      <c r="G84" s="1"/>
      <c r="H84" s="1"/>
      <c r="I84" s="5"/>
      <c r="J84" s="1"/>
      <c r="K84" s="1"/>
      <c r="M84" s="4"/>
      <c r="N84" s="1"/>
      <c r="O84" s="5"/>
      <c r="P84" s="1"/>
      <c r="Q84" s="1"/>
      <c r="S84" s="4"/>
      <c r="T84" s="1"/>
      <c r="U84" s="5"/>
      <c r="V84" s="1"/>
      <c r="W84" s="1"/>
    </row>
    <row r="85" spans="2:23" s="6" customFormat="1" x14ac:dyDescent="0.2">
      <c r="B85" s="1"/>
      <c r="C85" s="1"/>
      <c r="D85" s="1"/>
      <c r="E85" s="1"/>
      <c r="F85" s="4"/>
      <c r="G85" s="1"/>
      <c r="H85" s="1"/>
      <c r="I85" s="5"/>
      <c r="J85" s="1"/>
      <c r="K85" s="1"/>
      <c r="M85" s="4"/>
      <c r="N85" s="1"/>
      <c r="O85" s="5"/>
      <c r="P85" s="1"/>
      <c r="Q85" s="1"/>
      <c r="S85" s="4"/>
      <c r="T85" s="1"/>
      <c r="U85" s="5"/>
      <c r="V85" s="1"/>
      <c r="W85" s="1"/>
    </row>
    <row r="86" spans="2:23" s="6" customFormat="1" x14ac:dyDescent="0.2">
      <c r="B86" s="1"/>
      <c r="C86" s="1"/>
      <c r="D86" s="1"/>
      <c r="E86" s="1"/>
      <c r="F86" s="4"/>
      <c r="G86" s="1"/>
      <c r="H86" s="1"/>
      <c r="I86" s="5"/>
      <c r="J86" s="1"/>
      <c r="K86" s="1"/>
      <c r="M86" s="4"/>
      <c r="N86" s="1"/>
      <c r="O86" s="5"/>
      <c r="P86" s="1"/>
      <c r="Q86" s="1"/>
      <c r="S86" s="4"/>
      <c r="T86" s="1"/>
      <c r="U86" s="5"/>
      <c r="V86" s="1"/>
      <c r="W86" s="1"/>
    </row>
    <row r="87" spans="2:23" s="6" customFormat="1" x14ac:dyDescent="0.2">
      <c r="B87" s="1"/>
      <c r="C87" s="1"/>
      <c r="D87" s="1"/>
      <c r="E87" s="1"/>
      <c r="F87" s="4"/>
      <c r="G87" s="1"/>
      <c r="H87" s="1"/>
      <c r="I87" s="5"/>
      <c r="J87" s="1"/>
      <c r="K87" s="1"/>
      <c r="M87" s="4"/>
      <c r="N87" s="1"/>
      <c r="O87" s="5"/>
      <c r="P87" s="1"/>
      <c r="Q87" s="1"/>
      <c r="S87" s="4"/>
      <c r="T87" s="1"/>
      <c r="U87" s="5"/>
      <c r="V87" s="1"/>
      <c r="W87" s="1"/>
    </row>
    <row r="88" spans="2:23" s="6" customFormat="1" x14ac:dyDescent="0.2">
      <c r="B88" s="1"/>
      <c r="C88" s="1"/>
      <c r="D88" s="1"/>
      <c r="E88" s="1"/>
      <c r="F88" s="4"/>
      <c r="G88" s="1"/>
      <c r="H88" s="1"/>
      <c r="I88" s="5"/>
      <c r="J88" s="1"/>
      <c r="K88" s="1"/>
      <c r="M88" s="4"/>
      <c r="N88" s="1"/>
      <c r="O88" s="5"/>
      <c r="P88" s="1"/>
      <c r="Q88" s="1"/>
      <c r="S88" s="4"/>
      <c r="T88" s="1"/>
      <c r="U88" s="5"/>
      <c r="V88" s="1"/>
      <c r="W88" s="1"/>
    </row>
    <row r="89" spans="2:23" s="6" customFormat="1" x14ac:dyDescent="0.2">
      <c r="B89" s="1"/>
      <c r="C89" s="1"/>
      <c r="D89" s="1"/>
      <c r="E89" s="1"/>
      <c r="F89" s="4"/>
      <c r="G89" s="1"/>
      <c r="H89" s="1"/>
      <c r="I89" s="5"/>
      <c r="J89" s="1"/>
      <c r="K89" s="1"/>
      <c r="M89" s="4"/>
      <c r="N89" s="1"/>
      <c r="O89" s="5"/>
      <c r="P89" s="1"/>
      <c r="Q89" s="1"/>
      <c r="S89" s="4"/>
      <c r="T89" s="1"/>
      <c r="U89" s="5"/>
      <c r="V89" s="1"/>
      <c r="W89" s="1"/>
    </row>
    <row r="90" spans="2:23" s="6" customFormat="1" x14ac:dyDescent="0.2">
      <c r="B90" s="1"/>
      <c r="C90" s="1"/>
      <c r="D90" s="1"/>
      <c r="E90" s="1"/>
      <c r="F90" s="4"/>
      <c r="G90" s="1"/>
      <c r="H90" s="1"/>
      <c r="I90" s="5"/>
      <c r="J90" s="1"/>
      <c r="K90" s="1"/>
      <c r="M90" s="4"/>
      <c r="N90" s="1"/>
      <c r="O90" s="5"/>
      <c r="P90" s="1"/>
      <c r="Q90" s="1"/>
      <c r="S90" s="4"/>
      <c r="T90" s="1"/>
      <c r="U90" s="5"/>
      <c r="V90" s="1"/>
      <c r="W90" s="1"/>
    </row>
    <row r="91" spans="2:23" s="6" customFormat="1" x14ac:dyDescent="0.2">
      <c r="B91" s="1"/>
      <c r="C91" s="1"/>
      <c r="D91" s="1"/>
      <c r="E91" s="1"/>
      <c r="F91" s="4"/>
      <c r="G91" s="1"/>
      <c r="H91" s="1"/>
      <c r="I91" s="5"/>
      <c r="J91" s="1"/>
      <c r="K91" s="1"/>
      <c r="M91" s="4"/>
      <c r="N91" s="1"/>
      <c r="O91" s="5"/>
      <c r="P91" s="1"/>
      <c r="Q91" s="1"/>
      <c r="S91" s="4"/>
      <c r="T91" s="1"/>
      <c r="U91" s="5"/>
      <c r="V91" s="1"/>
      <c r="W91" s="1"/>
    </row>
    <row r="92" spans="2:23" s="6" customFormat="1" x14ac:dyDescent="0.2">
      <c r="B92" s="1"/>
      <c r="C92" s="1"/>
      <c r="D92" s="1"/>
      <c r="E92" s="1"/>
      <c r="F92" s="4"/>
      <c r="G92" s="1"/>
      <c r="H92" s="1"/>
      <c r="I92" s="5"/>
      <c r="J92" s="1"/>
      <c r="K92" s="1"/>
      <c r="M92" s="4"/>
      <c r="N92" s="1"/>
      <c r="O92" s="5"/>
      <c r="P92" s="1"/>
      <c r="Q92" s="1"/>
      <c r="S92" s="4"/>
      <c r="T92" s="1"/>
      <c r="U92" s="5"/>
      <c r="V92" s="1"/>
      <c r="W92" s="1"/>
    </row>
    <row r="93" spans="2:23" s="6" customFormat="1" x14ac:dyDescent="0.2">
      <c r="B93" s="1"/>
      <c r="C93" s="1"/>
      <c r="D93" s="1"/>
      <c r="E93" s="1"/>
      <c r="F93" s="4"/>
      <c r="G93" s="1"/>
      <c r="H93" s="1"/>
      <c r="I93" s="5"/>
      <c r="J93" s="1"/>
      <c r="K93" s="1"/>
      <c r="M93" s="4"/>
      <c r="N93" s="1"/>
      <c r="O93" s="5"/>
      <c r="P93" s="1"/>
      <c r="Q93" s="1"/>
      <c r="S93" s="4"/>
      <c r="T93" s="1"/>
      <c r="U93" s="5"/>
      <c r="V93" s="1"/>
      <c r="W93" s="1"/>
    </row>
    <row r="94" spans="2:23" s="6" customFormat="1" x14ac:dyDescent="0.2">
      <c r="B94" s="1"/>
      <c r="C94" s="1"/>
      <c r="D94" s="1"/>
      <c r="E94" s="1"/>
      <c r="F94" s="4"/>
      <c r="G94" s="1"/>
      <c r="H94" s="1"/>
      <c r="I94" s="5"/>
      <c r="J94" s="1"/>
      <c r="K94" s="1"/>
      <c r="M94" s="4"/>
      <c r="N94" s="1"/>
      <c r="O94" s="5"/>
      <c r="P94" s="1"/>
      <c r="Q94" s="1"/>
      <c r="S94" s="4"/>
      <c r="T94" s="1"/>
      <c r="U94" s="5"/>
      <c r="V94" s="1"/>
      <c r="W94" s="1"/>
    </row>
    <row r="95" spans="2:23" s="6" customFormat="1" x14ac:dyDescent="0.2">
      <c r="B95" s="1"/>
      <c r="C95" s="1"/>
      <c r="D95" s="1"/>
      <c r="E95" s="1"/>
      <c r="F95" s="4"/>
      <c r="G95" s="1"/>
      <c r="H95" s="1"/>
      <c r="I95" s="5"/>
      <c r="J95" s="1"/>
      <c r="K95" s="1"/>
      <c r="M95" s="4"/>
      <c r="N95" s="1"/>
      <c r="O95" s="5"/>
      <c r="P95" s="1"/>
      <c r="Q95" s="1"/>
      <c r="S95" s="4"/>
      <c r="T95" s="1"/>
      <c r="U95" s="5"/>
      <c r="V95" s="1"/>
      <c r="W95" s="1"/>
    </row>
    <row r="96" spans="2:23" s="6" customFormat="1" x14ac:dyDescent="0.2">
      <c r="B96" s="1"/>
      <c r="C96" s="1"/>
      <c r="D96" s="1"/>
      <c r="E96" s="1"/>
      <c r="F96" s="4"/>
      <c r="G96" s="1"/>
      <c r="H96" s="1"/>
      <c r="I96" s="5"/>
      <c r="J96" s="1"/>
      <c r="K96" s="1"/>
      <c r="M96" s="4"/>
      <c r="N96" s="1"/>
      <c r="O96" s="5"/>
      <c r="P96" s="1"/>
      <c r="Q96" s="1"/>
      <c r="S96" s="4"/>
      <c r="T96" s="1"/>
      <c r="U96" s="5"/>
      <c r="V96" s="1"/>
      <c r="W96" s="1"/>
    </row>
    <row r="97" spans="2:23" s="6" customFormat="1" x14ac:dyDescent="0.2">
      <c r="B97" s="1"/>
      <c r="C97" s="1"/>
      <c r="D97" s="1"/>
      <c r="E97" s="1"/>
      <c r="F97" s="4"/>
      <c r="G97" s="1"/>
      <c r="H97" s="1"/>
      <c r="I97" s="5"/>
      <c r="J97" s="1"/>
      <c r="K97" s="1"/>
      <c r="M97" s="4"/>
      <c r="N97" s="1"/>
      <c r="O97" s="5"/>
      <c r="P97" s="1"/>
      <c r="Q97" s="1"/>
      <c r="S97" s="4"/>
      <c r="T97" s="1"/>
      <c r="U97" s="5"/>
      <c r="V97" s="1"/>
      <c r="W97" s="1"/>
    </row>
    <row r="98" spans="2:23" s="6" customFormat="1" x14ac:dyDescent="0.2">
      <c r="B98" s="1"/>
      <c r="C98" s="1"/>
      <c r="D98" s="1"/>
      <c r="E98" s="1"/>
      <c r="F98" s="4"/>
      <c r="G98" s="1"/>
      <c r="H98" s="1"/>
      <c r="I98" s="5"/>
      <c r="J98" s="1"/>
      <c r="K98" s="1"/>
      <c r="M98" s="4"/>
      <c r="N98" s="1"/>
      <c r="O98" s="5"/>
      <c r="P98" s="1"/>
      <c r="Q98" s="1"/>
      <c r="S98" s="4"/>
      <c r="T98" s="1"/>
      <c r="U98" s="5"/>
      <c r="V98" s="1"/>
      <c r="W98" s="1"/>
    </row>
    <row r="99" spans="2:23" s="6" customFormat="1" x14ac:dyDescent="0.2">
      <c r="B99" s="1"/>
      <c r="C99" s="1"/>
      <c r="D99" s="1"/>
      <c r="E99" s="1"/>
      <c r="F99" s="4"/>
      <c r="G99" s="1"/>
      <c r="H99" s="1"/>
      <c r="I99" s="5"/>
      <c r="J99" s="1"/>
      <c r="K99" s="1"/>
      <c r="M99" s="4"/>
      <c r="N99" s="1"/>
      <c r="O99" s="5"/>
      <c r="P99" s="1"/>
      <c r="Q99" s="1"/>
      <c r="S99" s="4"/>
      <c r="T99" s="1"/>
      <c r="U99" s="5"/>
      <c r="V99" s="1"/>
      <c r="W99" s="1"/>
    </row>
    <row r="100" spans="2:23" s="6" customFormat="1" x14ac:dyDescent="0.2">
      <c r="B100" s="1"/>
      <c r="C100" s="1"/>
      <c r="D100" s="1"/>
      <c r="E100" s="1"/>
      <c r="F100" s="4"/>
      <c r="G100" s="1"/>
      <c r="H100" s="1"/>
      <c r="I100" s="5"/>
      <c r="J100" s="1"/>
      <c r="K100" s="1"/>
      <c r="M100" s="4"/>
      <c r="N100" s="1"/>
      <c r="O100" s="5"/>
      <c r="P100" s="1"/>
      <c r="Q100" s="1"/>
      <c r="S100" s="4"/>
      <c r="T100" s="1"/>
      <c r="U100" s="5"/>
      <c r="V100" s="1"/>
      <c r="W100" s="1"/>
    </row>
    <row r="101" spans="2:23" s="6" customFormat="1" x14ac:dyDescent="0.2">
      <c r="B101" s="1"/>
      <c r="C101" s="1"/>
      <c r="D101" s="1"/>
      <c r="E101" s="1"/>
      <c r="F101" s="4"/>
      <c r="G101" s="1"/>
      <c r="H101" s="1"/>
      <c r="I101" s="5"/>
      <c r="J101" s="1"/>
      <c r="K101" s="1"/>
      <c r="M101" s="4"/>
      <c r="N101" s="1"/>
      <c r="O101" s="5"/>
      <c r="P101" s="1"/>
      <c r="Q101" s="1"/>
      <c r="S101" s="4"/>
      <c r="T101" s="1"/>
      <c r="U101" s="5"/>
      <c r="V101" s="1"/>
      <c r="W101" s="1"/>
    </row>
    <row r="102" spans="2:23" s="6" customFormat="1" x14ac:dyDescent="0.2">
      <c r="B102" s="1"/>
      <c r="C102" s="1"/>
      <c r="D102" s="1"/>
      <c r="E102" s="1"/>
      <c r="F102" s="4"/>
      <c r="G102" s="1"/>
      <c r="H102" s="1"/>
      <c r="I102" s="5"/>
      <c r="J102" s="1"/>
      <c r="K102" s="1"/>
      <c r="M102" s="4"/>
      <c r="N102" s="1"/>
      <c r="O102" s="5"/>
      <c r="P102" s="1"/>
      <c r="Q102" s="1"/>
      <c r="S102" s="4"/>
      <c r="T102" s="1"/>
      <c r="U102" s="5"/>
      <c r="V102" s="1"/>
      <c r="W102" s="1"/>
    </row>
    <row r="103" spans="2:23" s="6" customFormat="1" x14ac:dyDescent="0.2">
      <c r="B103" s="1"/>
      <c r="C103" s="1"/>
      <c r="D103" s="1"/>
      <c r="E103" s="1"/>
      <c r="F103" s="4"/>
      <c r="G103" s="1"/>
      <c r="H103" s="1"/>
      <c r="I103" s="5"/>
      <c r="J103" s="1"/>
      <c r="K103" s="1"/>
      <c r="M103" s="4"/>
      <c r="N103" s="1"/>
      <c r="O103" s="5"/>
      <c r="P103" s="1"/>
      <c r="Q103" s="1"/>
      <c r="S103" s="4"/>
      <c r="T103" s="1"/>
      <c r="U103" s="5"/>
      <c r="V103" s="1"/>
      <c r="W103" s="1"/>
    </row>
    <row r="104" spans="2:23" s="6" customFormat="1" x14ac:dyDescent="0.2">
      <c r="B104" s="1"/>
      <c r="C104" s="1"/>
      <c r="D104" s="1"/>
      <c r="E104" s="1"/>
      <c r="F104" s="4"/>
      <c r="G104" s="1"/>
      <c r="H104" s="1"/>
      <c r="I104" s="5"/>
      <c r="J104" s="1"/>
      <c r="K104" s="1"/>
      <c r="M104" s="4"/>
      <c r="N104" s="1"/>
      <c r="O104" s="5"/>
      <c r="P104" s="1"/>
      <c r="Q104" s="1"/>
      <c r="S104" s="4"/>
      <c r="T104" s="1"/>
      <c r="U104" s="5"/>
      <c r="V104" s="1"/>
      <c r="W104" s="1"/>
    </row>
    <row r="105" spans="2:23" s="6" customFormat="1" x14ac:dyDescent="0.2">
      <c r="B105" s="1"/>
      <c r="C105" s="1"/>
      <c r="D105" s="1"/>
      <c r="E105" s="1"/>
      <c r="F105" s="4"/>
      <c r="G105" s="1"/>
      <c r="H105" s="1"/>
      <c r="I105" s="5"/>
      <c r="J105" s="1"/>
      <c r="K105" s="1"/>
      <c r="M105" s="4"/>
      <c r="N105" s="1"/>
      <c r="O105" s="5"/>
      <c r="P105" s="1"/>
      <c r="Q105" s="1"/>
      <c r="S105" s="4"/>
      <c r="T105" s="1"/>
      <c r="U105" s="5"/>
      <c r="V105" s="1"/>
      <c r="W105" s="1"/>
    </row>
    <row r="106" spans="2:23" s="6" customFormat="1" x14ac:dyDescent="0.2">
      <c r="B106" s="1"/>
      <c r="C106" s="1"/>
      <c r="D106" s="1"/>
      <c r="E106" s="1"/>
      <c r="F106" s="4"/>
      <c r="G106" s="1"/>
      <c r="H106" s="1"/>
      <c r="I106" s="5"/>
      <c r="J106" s="1"/>
      <c r="K106" s="1"/>
      <c r="M106" s="4"/>
      <c r="N106" s="1"/>
      <c r="O106" s="5"/>
      <c r="P106" s="1"/>
      <c r="Q106" s="1"/>
      <c r="S106" s="4"/>
      <c r="T106" s="1"/>
      <c r="U106" s="5"/>
      <c r="V106" s="1"/>
      <c r="W106" s="1"/>
    </row>
    <row r="107" spans="2:23" s="6" customFormat="1" x14ac:dyDescent="0.2">
      <c r="B107" s="1"/>
      <c r="C107" s="1"/>
      <c r="D107" s="1"/>
      <c r="E107" s="1"/>
      <c r="F107" s="4"/>
      <c r="G107" s="1"/>
      <c r="H107" s="1"/>
      <c r="I107" s="5"/>
      <c r="J107" s="1"/>
      <c r="K107" s="1"/>
      <c r="M107" s="4"/>
      <c r="N107" s="1"/>
      <c r="O107" s="5"/>
      <c r="P107" s="1"/>
      <c r="Q107" s="1"/>
      <c r="S107" s="4"/>
      <c r="T107" s="1"/>
      <c r="U107" s="5"/>
      <c r="V107" s="1"/>
      <c r="W107" s="1"/>
    </row>
    <row r="108" spans="2:23" s="6" customFormat="1" x14ac:dyDescent="0.2">
      <c r="B108" s="1"/>
      <c r="C108" s="1"/>
      <c r="D108" s="1"/>
      <c r="E108" s="1"/>
      <c r="F108" s="4"/>
      <c r="G108" s="1"/>
      <c r="H108" s="1"/>
      <c r="I108" s="5"/>
      <c r="J108" s="1"/>
      <c r="K108" s="1"/>
      <c r="M108" s="4"/>
      <c r="N108" s="1"/>
      <c r="O108" s="5"/>
      <c r="P108" s="1"/>
      <c r="Q108" s="1"/>
      <c r="S108" s="4"/>
      <c r="T108" s="1"/>
      <c r="U108" s="5"/>
      <c r="V108" s="1"/>
      <c r="W108" s="1"/>
    </row>
    <row r="109" spans="2:23" s="6" customFormat="1" x14ac:dyDescent="0.2">
      <c r="B109" s="1"/>
      <c r="C109" s="1"/>
      <c r="D109" s="1"/>
      <c r="E109" s="1"/>
      <c r="F109" s="4"/>
      <c r="G109" s="1"/>
      <c r="H109" s="1"/>
      <c r="I109" s="5"/>
      <c r="J109" s="1"/>
      <c r="K109" s="1"/>
      <c r="M109" s="4"/>
      <c r="N109" s="1"/>
      <c r="O109" s="5"/>
      <c r="P109" s="1"/>
      <c r="Q109" s="1"/>
      <c r="S109" s="4"/>
      <c r="T109" s="1"/>
      <c r="U109" s="5"/>
      <c r="V109" s="1"/>
      <c r="W109" s="1"/>
    </row>
    <row r="110" spans="2:23" s="6" customFormat="1" x14ac:dyDescent="0.2">
      <c r="B110" s="1"/>
      <c r="C110" s="1"/>
      <c r="D110" s="1"/>
      <c r="E110" s="1"/>
      <c r="F110" s="4"/>
      <c r="G110" s="1"/>
      <c r="H110" s="1"/>
      <c r="I110" s="5"/>
      <c r="J110" s="1"/>
      <c r="K110" s="1"/>
      <c r="M110" s="4"/>
      <c r="N110" s="1"/>
      <c r="O110" s="5"/>
      <c r="P110" s="1"/>
      <c r="Q110" s="1"/>
      <c r="S110" s="4"/>
      <c r="T110" s="1"/>
      <c r="U110" s="5"/>
      <c r="V110" s="1"/>
      <c r="W110" s="1"/>
    </row>
    <row r="111" spans="2:23" s="6" customFormat="1" x14ac:dyDescent="0.2">
      <c r="B111" s="1"/>
      <c r="C111" s="1"/>
      <c r="D111" s="1"/>
      <c r="E111" s="1"/>
      <c r="F111" s="4"/>
      <c r="G111" s="1"/>
      <c r="H111" s="1"/>
      <c r="I111" s="5"/>
      <c r="J111" s="1"/>
      <c r="K111" s="1"/>
      <c r="M111" s="4"/>
      <c r="N111" s="1"/>
      <c r="O111" s="5"/>
      <c r="P111" s="1"/>
      <c r="Q111" s="1"/>
      <c r="S111" s="4"/>
      <c r="T111" s="1"/>
      <c r="U111" s="5"/>
      <c r="V111" s="1"/>
      <c r="W111" s="1"/>
    </row>
    <row r="112" spans="2:23" s="6" customFormat="1" x14ac:dyDescent="0.2">
      <c r="B112" s="1"/>
      <c r="C112" s="1"/>
      <c r="D112" s="1"/>
      <c r="E112" s="1"/>
      <c r="F112" s="4"/>
      <c r="G112" s="1"/>
      <c r="H112" s="1"/>
      <c r="I112" s="5"/>
      <c r="J112" s="1"/>
      <c r="K112" s="1"/>
      <c r="M112" s="4"/>
      <c r="N112" s="1"/>
      <c r="O112" s="5"/>
      <c r="P112" s="1"/>
      <c r="Q112" s="1"/>
      <c r="S112" s="4"/>
      <c r="T112" s="1"/>
      <c r="U112" s="5"/>
      <c r="V112" s="1"/>
      <c r="W112" s="1"/>
    </row>
    <row r="113" spans="2:23" s="6" customFormat="1" x14ac:dyDescent="0.2">
      <c r="B113" s="1"/>
      <c r="C113" s="1"/>
      <c r="D113" s="1"/>
      <c r="E113" s="1"/>
      <c r="F113" s="4"/>
      <c r="G113" s="1"/>
      <c r="H113" s="1"/>
      <c r="I113" s="5"/>
      <c r="J113" s="1"/>
      <c r="K113" s="1"/>
      <c r="M113" s="4"/>
      <c r="N113" s="1"/>
      <c r="O113" s="5"/>
      <c r="P113" s="1"/>
      <c r="Q113" s="1"/>
      <c r="S113" s="4"/>
      <c r="T113" s="1"/>
      <c r="U113" s="5"/>
      <c r="V113" s="1"/>
      <c r="W113" s="1"/>
    </row>
    <row r="114" spans="2:23" s="6" customFormat="1" x14ac:dyDescent="0.2">
      <c r="B114" s="1"/>
      <c r="C114" s="1"/>
      <c r="D114" s="1"/>
      <c r="E114" s="1"/>
      <c r="F114" s="4"/>
      <c r="G114" s="1"/>
      <c r="H114" s="1"/>
      <c r="I114" s="5"/>
      <c r="J114" s="1"/>
      <c r="K114" s="1"/>
      <c r="M114" s="4"/>
      <c r="N114" s="1"/>
      <c r="O114" s="5"/>
      <c r="P114" s="1"/>
      <c r="Q114" s="1"/>
      <c r="S114" s="4"/>
      <c r="T114" s="1"/>
      <c r="U114" s="5"/>
      <c r="V114" s="1"/>
      <c r="W114" s="1"/>
    </row>
    <row r="115" spans="2:23" s="6" customFormat="1" x14ac:dyDescent="0.2">
      <c r="B115" s="1"/>
      <c r="C115" s="1"/>
      <c r="D115" s="1"/>
      <c r="E115" s="1"/>
      <c r="F115" s="4"/>
      <c r="G115" s="1"/>
      <c r="H115" s="1"/>
      <c r="I115" s="5"/>
      <c r="J115" s="1"/>
      <c r="K115" s="1"/>
      <c r="M115" s="4"/>
      <c r="N115" s="1"/>
      <c r="O115" s="5"/>
      <c r="P115" s="1"/>
      <c r="Q115" s="1"/>
      <c r="S115" s="4"/>
      <c r="T115" s="1"/>
      <c r="U115" s="5"/>
      <c r="V115" s="1"/>
      <c r="W115" s="1"/>
    </row>
    <row r="116" spans="2:23" s="6" customFormat="1" x14ac:dyDescent="0.2">
      <c r="B116" s="1"/>
      <c r="C116" s="1"/>
      <c r="D116" s="1"/>
      <c r="E116" s="1"/>
      <c r="F116" s="4"/>
      <c r="G116" s="1"/>
      <c r="H116" s="1"/>
      <c r="I116" s="5"/>
      <c r="J116" s="1"/>
      <c r="K116" s="1"/>
      <c r="M116" s="4"/>
      <c r="N116" s="1"/>
      <c r="O116" s="5"/>
      <c r="P116" s="1"/>
      <c r="Q116" s="1"/>
      <c r="S116" s="4"/>
      <c r="T116" s="1"/>
      <c r="U116" s="5"/>
      <c r="V116" s="1"/>
      <c r="W116" s="1"/>
    </row>
    <row r="117" spans="2:23" s="6" customFormat="1" x14ac:dyDescent="0.2">
      <c r="B117" s="1"/>
      <c r="C117" s="1"/>
      <c r="D117" s="1"/>
      <c r="E117" s="1"/>
      <c r="F117" s="4"/>
      <c r="G117" s="1"/>
      <c r="H117" s="1"/>
      <c r="I117" s="5"/>
      <c r="J117" s="1"/>
      <c r="K117" s="1"/>
      <c r="M117" s="4"/>
      <c r="N117" s="1"/>
      <c r="O117" s="5"/>
      <c r="P117" s="1"/>
      <c r="Q117" s="1"/>
      <c r="S117" s="4"/>
      <c r="T117" s="1"/>
      <c r="U117" s="5"/>
      <c r="V117" s="1"/>
      <c r="W117" s="1"/>
    </row>
    <row r="118" spans="2:23" s="6" customFormat="1" x14ac:dyDescent="0.2">
      <c r="B118" s="1"/>
      <c r="C118" s="1"/>
      <c r="D118" s="1"/>
      <c r="E118" s="1"/>
      <c r="F118" s="4"/>
      <c r="G118" s="1"/>
      <c r="H118" s="1"/>
      <c r="I118" s="5"/>
      <c r="J118" s="1"/>
      <c r="K118" s="1"/>
      <c r="M118" s="4"/>
      <c r="N118" s="1"/>
      <c r="O118" s="5"/>
      <c r="P118" s="1"/>
      <c r="Q118" s="1"/>
      <c r="S118" s="4"/>
      <c r="T118" s="1"/>
      <c r="U118" s="5"/>
      <c r="V118" s="1"/>
      <c r="W118" s="1"/>
    </row>
    <row r="119" spans="2:23" s="6" customFormat="1" x14ac:dyDescent="0.2">
      <c r="B119" s="1"/>
      <c r="C119" s="1"/>
      <c r="D119" s="1"/>
      <c r="E119" s="1"/>
      <c r="F119" s="4"/>
      <c r="G119" s="1"/>
      <c r="H119" s="1"/>
      <c r="I119" s="5"/>
      <c r="J119" s="1"/>
      <c r="K119" s="1"/>
      <c r="M119" s="4"/>
      <c r="N119" s="1"/>
      <c r="O119" s="5"/>
      <c r="P119" s="1"/>
      <c r="Q119" s="1"/>
      <c r="S119" s="4"/>
      <c r="T119" s="1"/>
      <c r="U119" s="5"/>
      <c r="V119" s="1"/>
      <c r="W119" s="1"/>
    </row>
    <row r="120" spans="2:23" s="6" customFormat="1" x14ac:dyDescent="0.2">
      <c r="B120" s="1"/>
      <c r="C120" s="1"/>
      <c r="D120" s="1"/>
      <c r="E120" s="1"/>
      <c r="F120" s="4"/>
      <c r="G120" s="1"/>
      <c r="H120" s="1"/>
      <c r="I120" s="5"/>
      <c r="J120" s="1"/>
      <c r="K120" s="1"/>
      <c r="M120" s="4"/>
      <c r="N120" s="1"/>
      <c r="O120" s="5"/>
      <c r="P120" s="1"/>
      <c r="Q120" s="1"/>
      <c r="S120" s="4"/>
      <c r="T120" s="1"/>
      <c r="U120" s="5"/>
      <c r="V120" s="1"/>
      <c r="W120" s="1"/>
    </row>
    <row r="121" spans="2:23" s="6" customFormat="1" x14ac:dyDescent="0.2">
      <c r="B121" s="1"/>
      <c r="C121" s="1"/>
      <c r="D121" s="1"/>
      <c r="E121" s="1"/>
      <c r="F121" s="4"/>
      <c r="G121" s="1"/>
      <c r="H121" s="1"/>
      <c r="I121" s="5"/>
      <c r="J121" s="1"/>
      <c r="K121" s="1"/>
      <c r="M121" s="4"/>
      <c r="N121" s="1"/>
      <c r="O121" s="5"/>
      <c r="P121" s="1"/>
      <c r="Q121" s="1"/>
      <c r="S121" s="4"/>
      <c r="T121" s="1"/>
      <c r="U121" s="5"/>
      <c r="V121" s="1"/>
      <c r="W121" s="1"/>
    </row>
    <row r="122" spans="2:23" s="6" customFormat="1" x14ac:dyDescent="0.2">
      <c r="B122" s="1"/>
      <c r="C122" s="1"/>
      <c r="D122" s="1"/>
      <c r="E122" s="1"/>
      <c r="F122" s="4"/>
      <c r="G122" s="1"/>
      <c r="H122" s="1"/>
      <c r="I122" s="5"/>
      <c r="J122" s="1"/>
      <c r="K122" s="1"/>
      <c r="M122" s="4"/>
      <c r="N122" s="1"/>
      <c r="O122" s="5"/>
      <c r="P122" s="1"/>
      <c r="Q122" s="1"/>
      <c r="S122" s="4"/>
      <c r="T122" s="1"/>
      <c r="U122" s="5"/>
      <c r="V122" s="1"/>
      <c r="W122" s="1"/>
    </row>
    <row r="123" spans="2:23" s="6" customFormat="1" x14ac:dyDescent="0.2">
      <c r="B123" s="1"/>
      <c r="C123" s="1"/>
      <c r="D123" s="1"/>
      <c r="E123" s="1"/>
      <c r="F123" s="4"/>
      <c r="G123" s="1"/>
      <c r="H123" s="1"/>
      <c r="I123" s="5"/>
      <c r="J123" s="1"/>
      <c r="K123" s="1"/>
      <c r="M123" s="4"/>
      <c r="N123" s="1"/>
      <c r="O123" s="5"/>
      <c r="P123" s="1"/>
      <c r="Q123" s="1"/>
      <c r="S123" s="4"/>
      <c r="T123" s="1"/>
      <c r="U123" s="5"/>
      <c r="V123" s="1"/>
      <c r="W123" s="1"/>
    </row>
    <row r="124" spans="2:23" s="6" customFormat="1" x14ac:dyDescent="0.2">
      <c r="B124" s="1"/>
      <c r="C124" s="1"/>
      <c r="D124" s="1"/>
      <c r="E124" s="1"/>
      <c r="F124" s="4"/>
      <c r="G124" s="1"/>
      <c r="H124" s="1"/>
      <c r="I124" s="5"/>
      <c r="J124" s="1"/>
      <c r="K124" s="1"/>
      <c r="M124" s="4"/>
      <c r="N124" s="1"/>
      <c r="O124" s="5"/>
      <c r="P124" s="1"/>
      <c r="Q124" s="1"/>
      <c r="S124" s="4"/>
      <c r="T124" s="1"/>
      <c r="U124" s="5"/>
      <c r="V124" s="1"/>
      <c r="W124" s="1"/>
    </row>
    <row r="125" spans="2:23" s="6" customFormat="1" x14ac:dyDescent="0.2">
      <c r="B125" s="1"/>
      <c r="C125" s="1"/>
      <c r="D125" s="1"/>
      <c r="E125" s="1"/>
      <c r="F125" s="4"/>
      <c r="G125" s="1"/>
      <c r="H125" s="1"/>
      <c r="I125" s="5"/>
      <c r="J125" s="1"/>
      <c r="K125" s="1"/>
      <c r="M125" s="4"/>
      <c r="N125" s="1"/>
      <c r="O125" s="5"/>
      <c r="P125" s="1"/>
      <c r="Q125" s="1"/>
      <c r="S125" s="4"/>
      <c r="T125" s="1"/>
      <c r="U125" s="5"/>
      <c r="V125" s="1"/>
      <c r="W125" s="1"/>
    </row>
    <row r="126" spans="2:23" s="6" customFormat="1" x14ac:dyDescent="0.2">
      <c r="B126" s="1"/>
      <c r="C126" s="1"/>
      <c r="D126" s="1"/>
      <c r="E126" s="1"/>
      <c r="F126" s="4"/>
      <c r="G126" s="1"/>
      <c r="H126" s="1"/>
      <c r="I126" s="5"/>
      <c r="J126" s="1"/>
      <c r="K126" s="1"/>
      <c r="M126" s="4"/>
      <c r="N126" s="1"/>
      <c r="O126" s="5"/>
      <c r="P126" s="1"/>
      <c r="Q126" s="1"/>
      <c r="S126" s="4"/>
      <c r="T126" s="1"/>
      <c r="U126" s="5"/>
      <c r="V126" s="1"/>
      <c r="W126" s="1"/>
    </row>
    <row r="127" spans="2:23" s="6" customFormat="1" x14ac:dyDescent="0.2">
      <c r="B127" s="1"/>
      <c r="C127" s="1"/>
      <c r="D127" s="1"/>
      <c r="E127" s="1"/>
      <c r="F127" s="4"/>
      <c r="G127" s="1"/>
      <c r="H127" s="1"/>
      <c r="I127" s="5"/>
      <c r="J127" s="1"/>
      <c r="K127" s="1"/>
      <c r="M127" s="4"/>
      <c r="N127" s="1"/>
      <c r="O127" s="5"/>
      <c r="P127" s="1"/>
      <c r="Q127" s="1"/>
      <c r="S127" s="4"/>
      <c r="T127" s="1"/>
      <c r="U127" s="5"/>
      <c r="V127" s="1"/>
      <c r="W127" s="1"/>
    </row>
    <row r="128" spans="2:23" s="6" customFormat="1" x14ac:dyDescent="0.2">
      <c r="B128" s="1"/>
      <c r="C128" s="1"/>
      <c r="D128" s="1"/>
      <c r="E128" s="1"/>
      <c r="F128" s="4"/>
      <c r="G128" s="1"/>
      <c r="H128" s="1"/>
      <c r="I128" s="5"/>
      <c r="J128" s="1"/>
      <c r="K128" s="1"/>
      <c r="M128" s="4"/>
      <c r="N128" s="1"/>
      <c r="O128" s="5"/>
      <c r="P128" s="1"/>
      <c r="Q128" s="1"/>
      <c r="S128" s="4"/>
      <c r="T128" s="1"/>
      <c r="U128" s="5"/>
      <c r="V128" s="1"/>
      <c r="W128" s="1"/>
    </row>
    <row r="129" spans="2:23" s="6" customFormat="1" x14ac:dyDescent="0.2">
      <c r="B129" s="1"/>
      <c r="C129" s="1"/>
      <c r="D129" s="1"/>
      <c r="E129" s="1"/>
      <c r="F129" s="4"/>
      <c r="G129" s="1"/>
      <c r="H129" s="1"/>
      <c r="I129" s="5"/>
      <c r="J129" s="1"/>
      <c r="K129" s="1"/>
      <c r="M129" s="4"/>
      <c r="N129" s="1"/>
      <c r="O129" s="5"/>
      <c r="P129" s="1"/>
      <c r="Q129" s="1"/>
      <c r="S129" s="4"/>
      <c r="T129" s="1"/>
      <c r="U129" s="5"/>
      <c r="V129" s="1"/>
      <c r="W129" s="1"/>
    </row>
    <row r="130" spans="2:23" s="6" customFormat="1" x14ac:dyDescent="0.2">
      <c r="B130" s="1"/>
      <c r="C130" s="1"/>
      <c r="D130" s="1"/>
      <c r="E130" s="1"/>
      <c r="F130" s="4"/>
      <c r="G130" s="1"/>
      <c r="H130" s="1"/>
      <c r="I130" s="5"/>
      <c r="J130" s="1"/>
      <c r="K130" s="1"/>
      <c r="M130" s="4"/>
      <c r="N130" s="1"/>
      <c r="O130" s="5"/>
      <c r="P130" s="1"/>
      <c r="Q130" s="1"/>
      <c r="S130" s="4"/>
      <c r="T130" s="1"/>
      <c r="U130" s="5"/>
      <c r="V130" s="1"/>
      <c r="W130" s="1"/>
    </row>
    <row r="131" spans="2:23" s="6" customFormat="1" x14ac:dyDescent="0.2">
      <c r="B131" s="1"/>
      <c r="C131" s="1"/>
      <c r="D131" s="1"/>
      <c r="E131" s="1"/>
      <c r="F131" s="4"/>
      <c r="G131" s="1"/>
      <c r="H131" s="1"/>
      <c r="I131" s="5"/>
      <c r="J131" s="1"/>
      <c r="K131" s="1"/>
      <c r="M131" s="4"/>
      <c r="N131" s="1"/>
      <c r="O131" s="5"/>
      <c r="P131" s="1"/>
      <c r="Q131" s="1"/>
      <c r="S131" s="4"/>
      <c r="T131" s="1"/>
      <c r="U131" s="5"/>
      <c r="V131" s="1"/>
      <c r="W131" s="1"/>
    </row>
    <row r="132" spans="2:23" s="6" customFormat="1" x14ac:dyDescent="0.2">
      <c r="B132" s="1"/>
      <c r="C132" s="1"/>
      <c r="D132" s="1"/>
      <c r="E132" s="1"/>
      <c r="F132" s="4"/>
      <c r="G132" s="1"/>
      <c r="H132" s="1"/>
      <c r="I132" s="5"/>
      <c r="J132" s="1"/>
      <c r="K132" s="1"/>
      <c r="M132" s="4"/>
      <c r="N132" s="1"/>
      <c r="O132" s="5"/>
      <c r="P132" s="1"/>
      <c r="Q132" s="1"/>
      <c r="S132" s="4"/>
      <c r="T132" s="1"/>
      <c r="U132" s="5"/>
      <c r="V132" s="1"/>
      <c r="W132" s="1"/>
    </row>
    <row r="133" spans="2:23" s="6" customFormat="1" x14ac:dyDescent="0.2">
      <c r="B133" s="1"/>
      <c r="C133" s="1"/>
      <c r="D133" s="1"/>
      <c r="E133" s="1"/>
      <c r="F133" s="4"/>
      <c r="G133" s="1"/>
      <c r="H133" s="1"/>
      <c r="I133" s="5"/>
      <c r="J133" s="1"/>
      <c r="K133" s="1"/>
      <c r="M133" s="4"/>
      <c r="N133" s="1"/>
      <c r="O133" s="5"/>
      <c r="P133" s="1"/>
      <c r="Q133" s="1"/>
      <c r="S133" s="4"/>
      <c r="T133" s="1"/>
      <c r="U133" s="5"/>
      <c r="V133" s="1"/>
      <c r="W133" s="1"/>
    </row>
    <row r="134" spans="2:23" s="6" customFormat="1" x14ac:dyDescent="0.2">
      <c r="B134" s="1"/>
      <c r="C134" s="1"/>
      <c r="D134" s="1"/>
      <c r="E134" s="1"/>
      <c r="F134" s="4"/>
      <c r="G134" s="1"/>
      <c r="H134" s="1"/>
      <c r="I134" s="5"/>
      <c r="J134" s="1"/>
      <c r="K134" s="1"/>
      <c r="M134" s="4"/>
      <c r="N134" s="1"/>
      <c r="O134" s="5"/>
      <c r="P134" s="1"/>
      <c r="Q134" s="1"/>
      <c r="S134" s="4"/>
      <c r="T134" s="1"/>
      <c r="U134" s="5"/>
      <c r="V134" s="1"/>
      <c r="W134" s="1"/>
    </row>
    <row r="135" spans="2:23" s="6" customFormat="1" x14ac:dyDescent="0.2">
      <c r="B135" s="1"/>
      <c r="C135" s="1"/>
      <c r="D135" s="1"/>
      <c r="E135" s="1"/>
      <c r="F135" s="4"/>
      <c r="G135" s="1"/>
      <c r="H135" s="1"/>
      <c r="I135" s="5"/>
      <c r="J135" s="1"/>
      <c r="K135" s="1"/>
      <c r="M135" s="4"/>
      <c r="N135" s="1"/>
      <c r="O135" s="5"/>
      <c r="P135" s="1"/>
      <c r="Q135" s="1"/>
      <c r="S135" s="7"/>
      <c r="T135" s="1"/>
      <c r="U135" s="5"/>
      <c r="V135" s="1"/>
      <c r="W135" s="1"/>
    </row>
    <row r="136" spans="2:23" s="6" customFormat="1" x14ac:dyDescent="0.2">
      <c r="B136" s="1"/>
      <c r="C136" s="1"/>
      <c r="D136" s="1"/>
      <c r="E136" s="1"/>
      <c r="F136" s="4"/>
      <c r="G136" s="1"/>
      <c r="H136" s="1"/>
      <c r="I136" s="5"/>
      <c r="J136" s="1"/>
      <c r="K136" s="1"/>
      <c r="M136" s="4"/>
      <c r="N136" s="1"/>
      <c r="O136" s="5"/>
      <c r="P136" s="1"/>
      <c r="Q136" s="1"/>
      <c r="S136" s="7"/>
      <c r="T136" s="1"/>
      <c r="U136" s="5"/>
      <c r="V136" s="1"/>
      <c r="W136" s="1"/>
    </row>
    <row r="137" spans="2:23" s="6" customFormat="1" x14ac:dyDescent="0.2">
      <c r="B137" s="1"/>
      <c r="C137" s="1"/>
      <c r="D137" s="1"/>
      <c r="E137" s="1"/>
      <c r="F137" s="4"/>
      <c r="G137" s="1"/>
      <c r="H137" s="1"/>
      <c r="I137" s="5"/>
      <c r="J137" s="1"/>
      <c r="K137" s="1"/>
      <c r="M137" s="4"/>
      <c r="N137" s="1"/>
      <c r="O137" s="5"/>
      <c r="P137" s="1"/>
      <c r="Q137" s="1"/>
      <c r="S137" s="7"/>
      <c r="T137" s="1"/>
      <c r="U137" s="5"/>
      <c r="V137" s="1"/>
      <c r="W137" s="1"/>
    </row>
    <row r="138" spans="2:23" s="6" customFormat="1" x14ac:dyDescent="0.2">
      <c r="B138" s="1"/>
      <c r="C138" s="1"/>
      <c r="D138" s="1"/>
      <c r="E138" s="1"/>
      <c r="F138" s="4"/>
      <c r="G138" s="1"/>
      <c r="H138" s="1"/>
      <c r="I138" s="5"/>
      <c r="J138" s="1"/>
      <c r="K138" s="1"/>
      <c r="M138" s="4"/>
      <c r="N138" s="1"/>
      <c r="O138" s="5"/>
      <c r="P138" s="1"/>
      <c r="Q138" s="1"/>
      <c r="S138" s="7"/>
      <c r="T138" s="1"/>
      <c r="U138" s="5"/>
      <c r="V138" s="1"/>
      <c r="W138" s="1"/>
    </row>
    <row r="139" spans="2:23" s="6" customFormat="1" x14ac:dyDescent="0.2">
      <c r="B139" s="1"/>
      <c r="C139" s="1"/>
      <c r="D139" s="1"/>
      <c r="E139" s="1"/>
      <c r="F139" s="4"/>
      <c r="G139" s="1"/>
      <c r="H139" s="1"/>
      <c r="I139" s="5"/>
      <c r="J139" s="1"/>
      <c r="K139" s="1"/>
      <c r="M139" s="4"/>
      <c r="N139" s="1"/>
      <c r="O139" s="5"/>
      <c r="P139" s="1"/>
      <c r="Q139" s="1"/>
      <c r="S139" s="7"/>
      <c r="T139" s="1"/>
      <c r="U139" s="5"/>
      <c r="V139" s="1"/>
      <c r="W139" s="1"/>
    </row>
    <row r="140" spans="2:23" s="6" customFormat="1" x14ac:dyDescent="0.2">
      <c r="F140" s="4"/>
      <c r="G140" s="1"/>
      <c r="H140" s="1"/>
      <c r="I140" s="5"/>
      <c r="J140" s="1"/>
      <c r="K140" s="1"/>
      <c r="M140" s="4"/>
      <c r="N140" s="1"/>
      <c r="O140" s="5"/>
      <c r="P140" s="1"/>
      <c r="Q140" s="1"/>
      <c r="S140" s="7"/>
      <c r="T140" s="1"/>
      <c r="U140" s="5"/>
      <c r="V140" s="1"/>
      <c r="W140" s="1"/>
    </row>
    <row r="141" spans="2:23" s="6" customFormat="1" x14ac:dyDescent="0.2">
      <c r="F141" s="4"/>
      <c r="G141" s="1"/>
      <c r="H141" s="1"/>
      <c r="I141" s="5"/>
      <c r="J141" s="1"/>
      <c r="K141" s="1"/>
      <c r="M141" s="4"/>
      <c r="N141" s="1"/>
      <c r="O141" s="5"/>
      <c r="P141" s="1"/>
      <c r="Q141" s="1"/>
      <c r="S141" s="7"/>
      <c r="T141" s="1"/>
      <c r="U141" s="5"/>
      <c r="V141" s="1"/>
      <c r="W141" s="1"/>
    </row>
    <row r="142" spans="2:23" s="6" customFormat="1" x14ac:dyDescent="0.2">
      <c r="F142" s="4"/>
      <c r="G142" s="1"/>
      <c r="H142" s="1"/>
      <c r="I142" s="5"/>
      <c r="J142" s="1"/>
      <c r="K142" s="1"/>
      <c r="M142" s="4"/>
      <c r="N142" s="1"/>
      <c r="O142" s="5"/>
      <c r="P142" s="1"/>
      <c r="Q142" s="1"/>
      <c r="S142" s="7"/>
      <c r="T142" s="1"/>
      <c r="U142" s="5"/>
      <c r="V142" s="1"/>
      <c r="W142" s="1"/>
    </row>
    <row r="143" spans="2:23" s="6" customFormat="1" x14ac:dyDescent="0.2">
      <c r="F143" s="4"/>
      <c r="G143" s="1"/>
      <c r="H143" s="1"/>
      <c r="I143" s="5"/>
      <c r="J143" s="1"/>
      <c r="K143" s="1"/>
      <c r="M143" s="4"/>
      <c r="N143" s="1"/>
      <c r="O143" s="5"/>
      <c r="P143" s="1"/>
      <c r="Q143" s="1"/>
      <c r="S143" s="7"/>
      <c r="T143" s="1"/>
      <c r="U143" s="5"/>
      <c r="V143" s="1"/>
      <c r="W143" s="1"/>
    </row>
    <row r="144" spans="2:23" s="6" customFormat="1" x14ac:dyDescent="0.2">
      <c r="F144" s="4"/>
      <c r="G144" s="1"/>
      <c r="H144" s="1"/>
      <c r="I144" s="5"/>
      <c r="J144" s="1"/>
      <c r="K144" s="1"/>
      <c r="M144" s="4"/>
      <c r="N144" s="1"/>
      <c r="O144" s="5"/>
      <c r="P144" s="1"/>
      <c r="Q144" s="1"/>
      <c r="S144" s="7"/>
      <c r="T144" s="1"/>
      <c r="U144" s="5"/>
      <c r="V144" s="1"/>
      <c r="W144" s="1"/>
    </row>
    <row r="145" spans="6:23" s="6" customFormat="1" x14ac:dyDescent="0.2">
      <c r="F145" s="4"/>
      <c r="G145" s="1"/>
      <c r="H145" s="1"/>
      <c r="I145" s="5"/>
      <c r="J145" s="1"/>
      <c r="K145" s="1"/>
      <c r="M145" s="4"/>
      <c r="N145" s="1"/>
      <c r="O145" s="5"/>
      <c r="P145" s="1"/>
      <c r="Q145" s="1"/>
      <c r="S145" s="7"/>
      <c r="T145" s="1"/>
      <c r="U145" s="5"/>
      <c r="V145" s="1"/>
      <c r="W145" s="1"/>
    </row>
    <row r="146" spans="6:23" s="6" customFormat="1" x14ac:dyDescent="0.2">
      <c r="F146" s="4"/>
      <c r="G146" s="1"/>
      <c r="H146" s="1"/>
      <c r="I146" s="5"/>
      <c r="J146" s="1"/>
      <c r="K146" s="1"/>
      <c r="M146" s="4"/>
      <c r="N146" s="1"/>
      <c r="O146" s="5"/>
      <c r="P146" s="1"/>
      <c r="Q146" s="1"/>
      <c r="S146" s="7"/>
      <c r="T146" s="1"/>
      <c r="U146" s="5"/>
      <c r="V146" s="1"/>
      <c r="W146" s="1"/>
    </row>
    <row r="147" spans="6:23" s="6" customFormat="1" x14ac:dyDescent="0.2">
      <c r="F147" s="4"/>
      <c r="G147" s="1"/>
      <c r="H147" s="1"/>
      <c r="I147" s="5"/>
      <c r="J147" s="1"/>
      <c r="K147" s="1"/>
      <c r="M147" s="4"/>
      <c r="N147" s="1"/>
      <c r="O147" s="5"/>
      <c r="P147" s="1"/>
      <c r="Q147" s="1"/>
      <c r="S147" s="7"/>
      <c r="T147" s="1"/>
      <c r="U147" s="5"/>
      <c r="V147" s="1"/>
      <c r="W147" s="1"/>
    </row>
    <row r="148" spans="6:23" s="6" customFormat="1" x14ac:dyDescent="0.2">
      <c r="F148" s="4"/>
      <c r="G148" s="1"/>
      <c r="H148" s="1"/>
      <c r="I148" s="5"/>
      <c r="J148" s="1"/>
      <c r="K148" s="1"/>
      <c r="M148" s="4"/>
      <c r="N148" s="1"/>
      <c r="O148" s="5"/>
      <c r="P148" s="1"/>
      <c r="Q148" s="1"/>
      <c r="S148" s="7"/>
      <c r="T148" s="1"/>
      <c r="U148" s="5"/>
      <c r="V148" s="1"/>
      <c r="W148" s="1"/>
    </row>
    <row r="149" spans="6:23" s="6" customFormat="1" x14ac:dyDescent="0.2">
      <c r="F149" s="4"/>
      <c r="G149" s="1"/>
      <c r="H149" s="1"/>
      <c r="I149" s="5"/>
      <c r="J149" s="1"/>
      <c r="K149" s="1"/>
      <c r="M149" s="4"/>
      <c r="N149" s="1"/>
      <c r="O149" s="5"/>
      <c r="P149" s="1"/>
      <c r="Q149" s="1"/>
      <c r="S149" s="7"/>
      <c r="T149" s="1"/>
      <c r="U149" s="5"/>
      <c r="V149" s="1"/>
      <c r="W149" s="1"/>
    </row>
    <row r="150" spans="6:23" s="6" customFormat="1" x14ac:dyDescent="0.2">
      <c r="F150" s="4"/>
      <c r="G150" s="1"/>
      <c r="H150" s="1"/>
      <c r="I150" s="5"/>
      <c r="J150" s="1"/>
      <c r="K150" s="1"/>
      <c r="M150" s="4"/>
      <c r="N150" s="1"/>
      <c r="O150" s="5"/>
      <c r="P150" s="1"/>
      <c r="Q150" s="1"/>
      <c r="S150" s="7"/>
      <c r="T150" s="1"/>
      <c r="U150" s="5"/>
      <c r="V150" s="1"/>
      <c r="W150" s="1"/>
    </row>
    <row r="151" spans="6:23" s="6" customFormat="1" x14ac:dyDescent="0.2">
      <c r="F151" s="4"/>
      <c r="G151" s="1"/>
      <c r="H151" s="1"/>
      <c r="I151" s="5"/>
      <c r="J151" s="1"/>
      <c r="K151" s="1"/>
      <c r="M151" s="4"/>
      <c r="N151" s="1"/>
      <c r="O151" s="5"/>
      <c r="P151" s="1"/>
      <c r="Q151" s="1"/>
      <c r="S151" s="7"/>
      <c r="T151" s="1"/>
      <c r="U151" s="5"/>
      <c r="V151" s="1"/>
      <c r="W151" s="1"/>
    </row>
    <row r="152" spans="6:23" s="6" customFormat="1" x14ac:dyDescent="0.2">
      <c r="F152" s="4"/>
      <c r="G152" s="1"/>
      <c r="H152" s="1"/>
      <c r="I152" s="5"/>
      <c r="J152" s="1"/>
      <c r="K152" s="1"/>
      <c r="M152" s="4"/>
      <c r="N152" s="1"/>
      <c r="O152" s="5"/>
      <c r="P152" s="1"/>
      <c r="Q152" s="1"/>
      <c r="S152" s="7"/>
      <c r="T152" s="1"/>
      <c r="U152" s="5"/>
      <c r="V152" s="1"/>
      <c r="W152" s="1"/>
    </row>
    <row r="153" spans="6:23" s="6" customFormat="1" x14ac:dyDescent="0.2">
      <c r="F153" s="4"/>
      <c r="G153" s="1"/>
      <c r="H153" s="1"/>
      <c r="I153" s="5"/>
      <c r="J153" s="1"/>
      <c r="K153" s="1"/>
      <c r="M153" s="4"/>
      <c r="N153" s="1"/>
      <c r="O153" s="5"/>
      <c r="P153" s="1"/>
      <c r="Q153" s="1"/>
      <c r="S153" s="7"/>
      <c r="T153" s="1"/>
      <c r="U153" s="5"/>
      <c r="V153" s="1"/>
      <c r="W153" s="1"/>
    </row>
    <row r="154" spans="6:23" s="6" customFormat="1" x14ac:dyDescent="0.2">
      <c r="F154" s="4"/>
      <c r="G154" s="1"/>
      <c r="H154" s="1"/>
      <c r="I154" s="5"/>
      <c r="J154" s="1"/>
      <c r="K154" s="1"/>
      <c r="M154" s="4"/>
      <c r="N154" s="1"/>
      <c r="O154" s="5"/>
      <c r="P154" s="1"/>
      <c r="Q154" s="1"/>
      <c r="S154" s="7"/>
      <c r="T154" s="1"/>
      <c r="U154" s="5"/>
      <c r="V154" s="1"/>
      <c r="W154" s="1"/>
    </row>
    <row r="155" spans="6:23" s="6" customFormat="1" x14ac:dyDescent="0.2">
      <c r="F155" s="4"/>
      <c r="G155" s="1"/>
      <c r="H155" s="1"/>
      <c r="I155" s="5"/>
      <c r="J155" s="1"/>
      <c r="K155" s="1"/>
      <c r="M155" s="4"/>
      <c r="N155" s="1"/>
      <c r="O155" s="5"/>
      <c r="P155" s="1"/>
      <c r="Q155" s="1"/>
      <c r="S155" s="7"/>
      <c r="T155" s="1"/>
      <c r="U155" s="5"/>
      <c r="V155" s="1"/>
      <c r="W155" s="1"/>
    </row>
    <row r="156" spans="6:23" s="6" customFormat="1" x14ac:dyDescent="0.2">
      <c r="F156" s="4"/>
      <c r="G156" s="1"/>
      <c r="H156" s="1"/>
      <c r="I156" s="5"/>
      <c r="J156" s="1"/>
      <c r="K156" s="1"/>
      <c r="M156" s="4"/>
      <c r="N156" s="1"/>
      <c r="O156" s="5"/>
      <c r="P156" s="1"/>
      <c r="Q156" s="1"/>
      <c r="S156" s="7"/>
      <c r="T156" s="1"/>
      <c r="U156" s="5"/>
      <c r="V156" s="1"/>
      <c r="W156" s="1"/>
    </row>
    <row r="157" spans="6:23" s="6" customFormat="1" x14ac:dyDescent="0.2">
      <c r="F157" s="4"/>
      <c r="G157" s="1"/>
      <c r="H157" s="1"/>
      <c r="I157" s="5"/>
      <c r="J157" s="1"/>
      <c r="K157" s="1"/>
      <c r="M157" s="4"/>
      <c r="N157" s="1"/>
      <c r="O157" s="5"/>
      <c r="P157" s="1"/>
      <c r="Q157" s="1"/>
      <c r="S157" s="7"/>
      <c r="T157" s="1"/>
      <c r="U157" s="5"/>
      <c r="V157" s="1"/>
      <c r="W157" s="1"/>
    </row>
    <row r="158" spans="6:23" s="6" customFormat="1" x14ac:dyDescent="0.2">
      <c r="F158" s="4"/>
      <c r="G158" s="1"/>
      <c r="H158" s="1"/>
      <c r="I158" s="5"/>
      <c r="J158" s="1"/>
      <c r="K158" s="1"/>
      <c r="M158" s="4"/>
      <c r="N158" s="1"/>
      <c r="O158" s="5"/>
      <c r="P158" s="1"/>
      <c r="Q158" s="1"/>
      <c r="S158" s="7"/>
      <c r="T158" s="1"/>
      <c r="U158" s="5"/>
      <c r="V158" s="1"/>
      <c r="W158" s="1"/>
    </row>
    <row r="159" spans="6:23" s="6" customFormat="1" x14ac:dyDescent="0.2">
      <c r="F159" s="4"/>
      <c r="G159" s="1"/>
      <c r="H159" s="1"/>
      <c r="I159" s="5"/>
      <c r="J159" s="1"/>
      <c r="K159" s="1"/>
      <c r="M159" s="4"/>
      <c r="N159" s="1"/>
      <c r="O159" s="5"/>
      <c r="P159" s="1"/>
      <c r="Q159" s="1"/>
      <c r="S159" s="7"/>
      <c r="T159" s="1"/>
      <c r="U159" s="5"/>
      <c r="V159" s="1"/>
      <c r="W159" s="1"/>
    </row>
    <row r="160" spans="6:23" s="6" customFormat="1" x14ac:dyDescent="0.2">
      <c r="F160" s="4"/>
      <c r="G160" s="1"/>
      <c r="H160" s="1"/>
      <c r="I160" s="5"/>
      <c r="J160" s="1"/>
      <c r="K160" s="1"/>
      <c r="M160" s="4"/>
      <c r="N160" s="1"/>
      <c r="O160" s="5"/>
      <c r="P160" s="1"/>
      <c r="Q160" s="1"/>
      <c r="S160" s="7"/>
      <c r="T160" s="1"/>
      <c r="U160" s="5"/>
      <c r="V160" s="1"/>
      <c r="W160" s="1"/>
    </row>
    <row r="161" spans="6:23" s="6" customFormat="1" x14ac:dyDescent="0.2">
      <c r="F161" s="4"/>
      <c r="G161" s="1"/>
      <c r="H161" s="1"/>
      <c r="I161" s="5"/>
      <c r="J161" s="1"/>
      <c r="K161" s="1"/>
      <c r="M161" s="4"/>
      <c r="N161" s="1"/>
      <c r="O161" s="5"/>
      <c r="P161" s="1"/>
      <c r="Q161" s="1"/>
      <c r="S161" s="7"/>
      <c r="T161" s="1"/>
      <c r="U161" s="5"/>
      <c r="V161" s="1"/>
      <c r="W161" s="1"/>
    </row>
    <row r="162" spans="6:23" s="6" customFormat="1" x14ac:dyDescent="0.2">
      <c r="F162" s="4"/>
      <c r="G162" s="1"/>
      <c r="H162" s="1"/>
      <c r="I162" s="5"/>
      <c r="J162" s="1"/>
      <c r="K162" s="1"/>
      <c r="M162" s="4"/>
      <c r="N162" s="1"/>
      <c r="O162" s="5"/>
      <c r="P162" s="1"/>
      <c r="Q162" s="1"/>
      <c r="S162" s="7"/>
      <c r="T162" s="1"/>
      <c r="U162" s="5"/>
      <c r="V162" s="1"/>
      <c r="W162" s="1"/>
    </row>
    <row r="163" spans="6:23" s="6" customFormat="1" x14ac:dyDescent="0.2">
      <c r="F163" s="4"/>
      <c r="G163" s="1"/>
      <c r="H163" s="1"/>
      <c r="I163" s="5"/>
      <c r="J163" s="1"/>
      <c r="K163" s="1"/>
      <c r="M163" s="4"/>
      <c r="N163" s="1"/>
      <c r="O163" s="5"/>
      <c r="P163" s="1"/>
      <c r="Q163" s="1"/>
      <c r="S163" s="7"/>
      <c r="T163" s="1"/>
      <c r="U163" s="5"/>
      <c r="V163" s="1"/>
      <c r="W163" s="1"/>
    </row>
    <row r="164" spans="6:23" s="6" customFormat="1" x14ac:dyDescent="0.2">
      <c r="F164" s="4"/>
      <c r="G164" s="1"/>
      <c r="H164" s="1"/>
      <c r="I164" s="5"/>
      <c r="J164" s="1"/>
      <c r="K164" s="1"/>
      <c r="M164" s="4"/>
      <c r="N164" s="1"/>
      <c r="O164" s="5"/>
      <c r="P164" s="1"/>
      <c r="Q164" s="1"/>
      <c r="S164" s="7"/>
      <c r="T164" s="1"/>
      <c r="U164" s="5"/>
      <c r="V164" s="1"/>
      <c r="W164" s="1"/>
    </row>
    <row r="165" spans="6:23" s="6" customFormat="1" x14ac:dyDescent="0.2">
      <c r="F165" s="4"/>
      <c r="G165" s="1"/>
      <c r="H165" s="1"/>
      <c r="I165" s="5"/>
      <c r="J165" s="1"/>
      <c r="K165" s="1"/>
      <c r="M165" s="4"/>
      <c r="N165" s="1"/>
      <c r="O165" s="5"/>
      <c r="P165" s="1"/>
      <c r="Q165" s="1"/>
      <c r="S165" s="7"/>
      <c r="T165" s="1"/>
      <c r="U165" s="5"/>
      <c r="V165" s="1"/>
      <c r="W165" s="1"/>
    </row>
    <row r="166" spans="6:23" s="6" customFormat="1" x14ac:dyDescent="0.2">
      <c r="F166" s="4"/>
      <c r="G166" s="1"/>
      <c r="H166" s="1"/>
      <c r="I166" s="5"/>
      <c r="J166" s="1"/>
      <c r="K166" s="1"/>
      <c r="M166" s="4"/>
      <c r="N166" s="1"/>
      <c r="O166" s="5"/>
      <c r="P166" s="1"/>
      <c r="Q166" s="1"/>
      <c r="S166" s="7"/>
      <c r="T166" s="1"/>
      <c r="U166" s="5"/>
      <c r="V166" s="1"/>
      <c r="W166" s="1"/>
    </row>
    <row r="167" spans="6:23" s="6" customFormat="1" x14ac:dyDescent="0.2">
      <c r="F167" s="4"/>
      <c r="G167" s="1"/>
      <c r="H167" s="1"/>
      <c r="I167" s="5"/>
      <c r="J167" s="1"/>
      <c r="K167" s="1"/>
      <c r="M167" s="4"/>
      <c r="N167" s="1"/>
      <c r="O167" s="5"/>
      <c r="P167" s="1"/>
      <c r="Q167" s="1"/>
      <c r="S167" s="7"/>
      <c r="T167" s="1"/>
      <c r="U167" s="5"/>
      <c r="V167" s="1"/>
      <c r="W167" s="1"/>
    </row>
    <row r="168" spans="6:23" s="6" customFormat="1" x14ac:dyDescent="0.2">
      <c r="F168" s="4"/>
      <c r="G168" s="1"/>
      <c r="H168" s="1"/>
      <c r="I168" s="5"/>
      <c r="J168" s="1"/>
      <c r="K168" s="1"/>
      <c r="M168" s="4"/>
      <c r="N168" s="1"/>
      <c r="O168" s="5"/>
      <c r="P168" s="1"/>
      <c r="Q168" s="1"/>
      <c r="S168" s="7"/>
      <c r="T168" s="1"/>
      <c r="U168" s="5"/>
      <c r="V168" s="1"/>
      <c r="W168" s="1"/>
    </row>
    <row r="169" spans="6:23" s="6" customFormat="1" x14ac:dyDescent="0.2">
      <c r="F169" s="4"/>
      <c r="G169" s="1"/>
      <c r="H169" s="1"/>
      <c r="I169" s="5"/>
      <c r="J169" s="1"/>
      <c r="K169" s="1"/>
      <c r="M169" s="4"/>
      <c r="N169" s="1"/>
      <c r="O169" s="5"/>
      <c r="P169" s="1"/>
      <c r="Q169" s="1"/>
      <c r="S169" s="7"/>
      <c r="T169" s="1"/>
      <c r="U169" s="5"/>
      <c r="V169" s="1"/>
      <c r="W169" s="1"/>
    </row>
    <row r="170" spans="6:23" s="6" customFormat="1" x14ac:dyDescent="0.2">
      <c r="F170" s="4"/>
      <c r="G170" s="1"/>
      <c r="H170" s="1"/>
      <c r="I170" s="5"/>
      <c r="J170" s="1"/>
      <c r="K170" s="1"/>
      <c r="M170" s="4"/>
      <c r="N170" s="1"/>
      <c r="O170" s="5"/>
      <c r="P170" s="1"/>
      <c r="Q170" s="1"/>
      <c r="S170" s="7"/>
      <c r="T170" s="1"/>
      <c r="U170" s="5"/>
      <c r="V170" s="1"/>
      <c r="W170" s="1"/>
    </row>
    <row r="171" spans="6:23" s="6" customFormat="1" x14ac:dyDescent="0.2">
      <c r="F171" s="4"/>
      <c r="G171" s="1"/>
      <c r="H171" s="1"/>
      <c r="I171" s="5"/>
      <c r="J171" s="1"/>
      <c r="K171" s="1"/>
      <c r="M171" s="4"/>
      <c r="N171" s="1"/>
      <c r="O171" s="5"/>
      <c r="P171" s="1"/>
      <c r="Q171" s="1"/>
      <c r="S171" s="7"/>
      <c r="T171" s="1"/>
      <c r="U171" s="5"/>
      <c r="V171" s="1"/>
      <c r="W171" s="1"/>
    </row>
    <row r="172" spans="6:23" s="6" customFormat="1" x14ac:dyDescent="0.2">
      <c r="F172" s="4"/>
      <c r="G172" s="1"/>
      <c r="H172" s="1"/>
      <c r="I172" s="5"/>
      <c r="J172" s="1"/>
      <c r="K172" s="1"/>
      <c r="M172" s="4"/>
      <c r="N172" s="1"/>
      <c r="O172" s="5"/>
      <c r="P172" s="1"/>
      <c r="Q172" s="1"/>
      <c r="S172" s="7"/>
      <c r="T172" s="1"/>
      <c r="U172" s="5"/>
      <c r="V172" s="1"/>
      <c r="W172" s="1"/>
    </row>
    <row r="173" spans="6:23" s="6" customFormat="1" x14ac:dyDescent="0.2">
      <c r="F173" s="4"/>
      <c r="G173" s="1"/>
      <c r="H173" s="1"/>
      <c r="I173" s="5"/>
      <c r="J173" s="1"/>
      <c r="K173" s="1"/>
      <c r="M173" s="4"/>
      <c r="N173" s="1"/>
      <c r="O173" s="5"/>
      <c r="P173" s="1"/>
      <c r="Q173" s="1"/>
      <c r="S173" s="7"/>
      <c r="T173" s="1"/>
      <c r="U173" s="5"/>
      <c r="V173" s="1"/>
      <c r="W173" s="1"/>
    </row>
    <row r="174" spans="6:23" s="6" customFormat="1" x14ac:dyDescent="0.2">
      <c r="F174" s="4"/>
      <c r="G174" s="1"/>
      <c r="H174" s="1"/>
      <c r="I174" s="5"/>
      <c r="J174" s="1"/>
      <c r="K174" s="1"/>
      <c r="M174" s="4"/>
      <c r="N174" s="1"/>
      <c r="O174" s="5"/>
      <c r="P174" s="1"/>
      <c r="Q174" s="1"/>
      <c r="S174" s="7"/>
      <c r="T174" s="1"/>
      <c r="U174" s="5"/>
      <c r="V174" s="1"/>
      <c r="W174" s="1"/>
    </row>
    <row r="175" spans="6:23" s="6" customFormat="1" x14ac:dyDescent="0.2">
      <c r="F175" s="4"/>
      <c r="G175" s="1"/>
      <c r="H175" s="1"/>
      <c r="I175" s="5"/>
      <c r="J175" s="1"/>
      <c r="K175" s="1"/>
      <c r="M175" s="4"/>
      <c r="N175" s="1"/>
      <c r="O175" s="5"/>
      <c r="P175" s="1"/>
      <c r="Q175" s="1"/>
      <c r="S175" s="7"/>
      <c r="T175" s="1"/>
      <c r="U175" s="5"/>
      <c r="V175" s="1"/>
      <c r="W175" s="1"/>
    </row>
    <row r="176" spans="6:23" s="6" customFormat="1" x14ac:dyDescent="0.2">
      <c r="F176" s="4"/>
      <c r="G176" s="1"/>
      <c r="H176" s="1"/>
      <c r="I176" s="5"/>
      <c r="J176" s="1"/>
      <c r="K176" s="1"/>
      <c r="M176" s="4"/>
      <c r="N176" s="1"/>
      <c r="O176" s="5"/>
      <c r="P176" s="1"/>
      <c r="Q176" s="1"/>
      <c r="S176" s="7"/>
      <c r="T176" s="1"/>
      <c r="U176" s="5"/>
      <c r="V176" s="1"/>
      <c r="W176" s="1"/>
    </row>
    <row r="177" spans="6:23" s="6" customFormat="1" x14ac:dyDescent="0.2">
      <c r="F177" s="4"/>
      <c r="G177" s="1"/>
      <c r="H177" s="1"/>
      <c r="I177" s="5"/>
      <c r="J177" s="1"/>
      <c r="K177" s="1"/>
      <c r="M177" s="4"/>
      <c r="N177" s="1"/>
      <c r="O177" s="5"/>
      <c r="P177" s="1"/>
      <c r="Q177" s="1"/>
      <c r="S177" s="7"/>
      <c r="T177" s="1"/>
      <c r="U177" s="5"/>
      <c r="V177" s="1"/>
      <c r="W177" s="1"/>
    </row>
    <row r="178" spans="6:23" s="6" customFormat="1" x14ac:dyDescent="0.2">
      <c r="F178" s="4"/>
      <c r="G178" s="1"/>
      <c r="H178" s="1"/>
      <c r="I178" s="5"/>
      <c r="J178" s="1"/>
      <c r="K178" s="1"/>
      <c r="M178" s="4"/>
      <c r="N178" s="1"/>
      <c r="O178" s="5"/>
      <c r="P178" s="1"/>
      <c r="Q178" s="1"/>
      <c r="S178" s="7"/>
      <c r="T178" s="1"/>
      <c r="U178" s="5"/>
      <c r="V178" s="1"/>
      <c r="W178" s="1"/>
    </row>
    <row r="179" spans="6:23" s="6" customFormat="1" x14ac:dyDescent="0.2">
      <c r="F179" s="4"/>
      <c r="G179" s="1"/>
      <c r="H179" s="1"/>
      <c r="I179" s="5"/>
      <c r="J179" s="1"/>
      <c r="K179" s="1"/>
      <c r="M179" s="4"/>
      <c r="N179" s="1"/>
      <c r="O179" s="5"/>
      <c r="P179" s="1"/>
      <c r="Q179" s="1"/>
      <c r="S179" s="7"/>
      <c r="T179" s="1"/>
      <c r="U179" s="5"/>
      <c r="V179" s="1"/>
      <c r="W179" s="1"/>
    </row>
    <row r="180" spans="6:23" s="6" customFormat="1" x14ac:dyDescent="0.2">
      <c r="F180" s="4"/>
      <c r="G180" s="1"/>
      <c r="H180" s="1"/>
      <c r="I180" s="5"/>
      <c r="J180" s="1"/>
      <c r="K180" s="1"/>
      <c r="M180" s="4"/>
      <c r="N180" s="1"/>
      <c r="O180" s="5"/>
      <c r="P180" s="1"/>
      <c r="Q180" s="1"/>
      <c r="S180" s="7"/>
      <c r="T180" s="1"/>
      <c r="U180" s="5"/>
      <c r="V180" s="1"/>
      <c r="W180" s="1"/>
    </row>
    <row r="181" spans="6:23" s="6" customFormat="1" x14ac:dyDescent="0.2">
      <c r="F181" s="4"/>
      <c r="G181" s="1"/>
      <c r="H181" s="1"/>
      <c r="I181" s="5"/>
      <c r="J181" s="1"/>
      <c r="K181" s="1"/>
      <c r="M181" s="4"/>
      <c r="N181" s="1"/>
      <c r="O181" s="5"/>
      <c r="P181" s="1"/>
      <c r="Q181" s="1"/>
      <c r="S181" s="7"/>
      <c r="T181" s="1"/>
      <c r="U181" s="5"/>
      <c r="V181" s="1"/>
      <c r="W181" s="1"/>
    </row>
    <row r="182" spans="6:23" s="6" customFormat="1" x14ac:dyDescent="0.2">
      <c r="F182" s="4"/>
      <c r="G182" s="1"/>
      <c r="H182" s="1"/>
      <c r="I182" s="5"/>
      <c r="J182" s="1"/>
      <c r="K182" s="1"/>
      <c r="M182" s="4"/>
      <c r="N182" s="1"/>
      <c r="O182" s="5"/>
      <c r="P182" s="1"/>
      <c r="Q182" s="1"/>
      <c r="S182" s="7"/>
      <c r="T182" s="1"/>
      <c r="U182" s="5"/>
      <c r="V182" s="1"/>
      <c r="W182" s="1"/>
    </row>
    <row r="183" spans="6:23" s="6" customFormat="1" x14ac:dyDescent="0.2">
      <c r="F183" s="4"/>
      <c r="G183" s="1"/>
      <c r="H183" s="1"/>
      <c r="I183" s="5"/>
      <c r="J183" s="1"/>
      <c r="K183" s="1"/>
      <c r="M183" s="4"/>
      <c r="N183" s="1"/>
      <c r="O183" s="5"/>
      <c r="P183" s="1"/>
      <c r="Q183" s="1"/>
      <c r="S183" s="7"/>
      <c r="T183" s="1"/>
      <c r="U183" s="5"/>
      <c r="V183" s="1"/>
      <c r="W183" s="1"/>
    </row>
    <row r="184" spans="6:23" s="6" customFormat="1" x14ac:dyDescent="0.2">
      <c r="F184" s="4"/>
      <c r="G184" s="1"/>
      <c r="H184" s="1"/>
      <c r="I184" s="5"/>
      <c r="J184" s="1"/>
      <c r="K184" s="1"/>
      <c r="M184" s="4"/>
      <c r="N184" s="1"/>
      <c r="O184" s="5"/>
      <c r="P184" s="1"/>
      <c r="Q184" s="1"/>
      <c r="S184" s="7"/>
      <c r="T184" s="1"/>
      <c r="U184" s="5"/>
      <c r="V184" s="1"/>
      <c r="W184" s="1"/>
    </row>
    <row r="185" spans="6:23" s="6" customFormat="1" x14ac:dyDescent="0.2">
      <c r="F185" s="4"/>
      <c r="G185" s="1"/>
      <c r="H185" s="1"/>
      <c r="I185" s="5"/>
      <c r="J185" s="1"/>
      <c r="K185" s="1"/>
      <c r="M185" s="4"/>
      <c r="N185" s="1"/>
      <c r="O185" s="5"/>
      <c r="P185" s="1"/>
      <c r="Q185" s="1"/>
      <c r="S185" s="7"/>
      <c r="T185" s="1"/>
      <c r="U185" s="5"/>
      <c r="V185" s="1"/>
      <c r="W185" s="1"/>
    </row>
    <row r="186" spans="6:23" s="6" customFormat="1" x14ac:dyDescent="0.2">
      <c r="F186" s="4"/>
      <c r="G186" s="1"/>
      <c r="H186" s="1"/>
      <c r="I186" s="5"/>
      <c r="J186" s="1"/>
      <c r="K186" s="1"/>
      <c r="M186" s="4"/>
      <c r="N186" s="1"/>
      <c r="O186" s="5"/>
      <c r="P186" s="1"/>
      <c r="Q186" s="1"/>
      <c r="S186" s="7"/>
      <c r="T186" s="1"/>
      <c r="U186" s="5"/>
      <c r="V186" s="1"/>
      <c r="W186" s="1"/>
    </row>
    <row r="187" spans="6:23" s="6" customFormat="1" x14ac:dyDescent="0.2">
      <c r="F187" s="4"/>
      <c r="G187" s="1"/>
      <c r="H187" s="1"/>
      <c r="I187" s="5"/>
      <c r="J187" s="1"/>
      <c r="K187" s="1"/>
      <c r="M187" s="4"/>
      <c r="N187" s="1"/>
      <c r="O187" s="5"/>
      <c r="P187" s="1"/>
      <c r="Q187" s="1"/>
      <c r="S187" s="7"/>
      <c r="T187" s="1"/>
      <c r="U187" s="5"/>
      <c r="V187" s="1"/>
      <c r="W187" s="1"/>
    </row>
    <row r="188" spans="6:23" s="6" customFormat="1" x14ac:dyDescent="0.2">
      <c r="F188" s="4"/>
      <c r="G188" s="1"/>
      <c r="H188" s="1"/>
      <c r="I188" s="5"/>
      <c r="J188" s="1"/>
      <c r="K188" s="1"/>
      <c r="M188" s="4"/>
      <c r="N188" s="1"/>
      <c r="O188" s="5"/>
      <c r="P188" s="1"/>
      <c r="Q188" s="1"/>
      <c r="S188" s="7"/>
      <c r="T188" s="1"/>
      <c r="U188" s="5"/>
      <c r="V188" s="1"/>
      <c r="W188" s="1"/>
    </row>
    <row r="189" spans="6:23" s="6" customFormat="1" x14ac:dyDescent="0.2">
      <c r="F189" s="4"/>
      <c r="G189" s="1"/>
      <c r="H189" s="1"/>
      <c r="I189" s="5"/>
      <c r="J189" s="1"/>
      <c r="K189" s="1"/>
      <c r="M189" s="4"/>
      <c r="N189" s="1"/>
      <c r="O189" s="5"/>
      <c r="P189" s="1"/>
      <c r="Q189" s="1"/>
      <c r="S189" s="7"/>
      <c r="T189" s="1"/>
      <c r="U189" s="5"/>
      <c r="V189" s="1"/>
      <c r="W189" s="1"/>
    </row>
    <row r="190" spans="6:23" s="6" customFormat="1" x14ac:dyDescent="0.2">
      <c r="F190" s="4"/>
      <c r="G190" s="1"/>
      <c r="H190" s="1"/>
      <c r="I190" s="5"/>
      <c r="J190" s="1"/>
      <c r="K190" s="1"/>
      <c r="M190" s="4"/>
      <c r="N190" s="1"/>
      <c r="O190" s="5"/>
      <c r="P190" s="1"/>
      <c r="Q190" s="1"/>
      <c r="S190" s="7"/>
      <c r="T190" s="1"/>
      <c r="U190" s="5"/>
      <c r="V190" s="1"/>
      <c r="W190" s="1"/>
    </row>
    <row r="191" spans="6:23" s="6" customFormat="1" x14ac:dyDescent="0.2">
      <c r="F191" s="4"/>
      <c r="G191" s="1"/>
      <c r="H191" s="1"/>
      <c r="I191" s="5"/>
      <c r="J191" s="1"/>
      <c r="K191" s="1"/>
      <c r="M191" s="4"/>
      <c r="N191" s="1"/>
      <c r="O191" s="5"/>
      <c r="P191" s="1"/>
      <c r="Q191" s="1"/>
      <c r="S191" s="7"/>
      <c r="T191" s="1"/>
      <c r="U191" s="5"/>
      <c r="V191" s="1"/>
      <c r="W191" s="1"/>
    </row>
    <row r="192" spans="6:23" s="6" customFormat="1" x14ac:dyDescent="0.2">
      <c r="F192" s="4"/>
      <c r="G192" s="1"/>
      <c r="H192" s="1"/>
      <c r="I192" s="5"/>
      <c r="J192" s="1"/>
      <c r="K192" s="1"/>
      <c r="M192" s="4"/>
      <c r="N192" s="1"/>
      <c r="O192" s="5"/>
      <c r="P192" s="1"/>
      <c r="Q192" s="1"/>
      <c r="S192" s="7"/>
      <c r="T192" s="1"/>
      <c r="U192" s="5"/>
      <c r="V192" s="1"/>
      <c r="W192" s="1"/>
    </row>
    <row r="193" spans="6:23" s="6" customFormat="1" x14ac:dyDescent="0.2">
      <c r="F193" s="4"/>
      <c r="G193" s="1"/>
      <c r="H193" s="1"/>
      <c r="I193" s="5"/>
      <c r="J193" s="1"/>
      <c r="K193" s="1"/>
      <c r="M193" s="4"/>
      <c r="N193" s="1"/>
      <c r="O193" s="5"/>
      <c r="P193" s="1"/>
      <c r="Q193" s="1"/>
      <c r="S193" s="7"/>
      <c r="T193" s="1"/>
      <c r="U193" s="5"/>
      <c r="V193" s="1"/>
      <c r="W193" s="1"/>
    </row>
    <row r="194" spans="6:23" s="6" customFormat="1" x14ac:dyDescent="0.2">
      <c r="F194" s="4"/>
      <c r="G194" s="1"/>
      <c r="H194" s="1"/>
      <c r="I194" s="5"/>
      <c r="J194" s="1"/>
      <c r="K194" s="1"/>
      <c r="M194" s="4"/>
      <c r="N194" s="1"/>
      <c r="O194" s="5"/>
      <c r="P194" s="1"/>
      <c r="Q194" s="1"/>
      <c r="S194" s="7"/>
      <c r="T194" s="1"/>
      <c r="U194" s="5"/>
      <c r="V194" s="1"/>
      <c r="W194" s="1"/>
    </row>
    <row r="195" spans="6:23" s="6" customFormat="1" x14ac:dyDescent="0.2">
      <c r="F195" s="4"/>
      <c r="G195" s="1"/>
      <c r="H195" s="1"/>
      <c r="I195" s="5"/>
      <c r="J195" s="1"/>
      <c r="K195" s="1"/>
      <c r="M195" s="4"/>
      <c r="N195" s="1"/>
      <c r="O195" s="5"/>
      <c r="P195" s="1"/>
      <c r="Q195" s="1"/>
      <c r="S195" s="7"/>
      <c r="T195" s="1"/>
      <c r="U195" s="5"/>
      <c r="V195" s="1"/>
      <c r="W195" s="1"/>
    </row>
    <row r="196" spans="6:23" s="6" customFormat="1" x14ac:dyDescent="0.2">
      <c r="F196" s="4"/>
      <c r="G196" s="1"/>
      <c r="H196" s="1"/>
      <c r="I196" s="5"/>
      <c r="J196" s="1"/>
      <c r="K196" s="1"/>
      <c r="M196" s="4"/>
      <c r="N196" s="1"/>
      <c r="O196" s="5"/>
      <c r="P196" s="1"/>
      <c r="Q196" s="1"/>
      <c r="S196" s="7"/>
      <c r="T196" s="1"/>
      <c r="U196" s="5"/>
      <c r="V196" s="1"/>
      <c r="W196" s="1"/>
    </row>
    <row r="197" spans="6:23" s="6" customFormat="1" x14ac:dyDescent="0.2">
      <c r="F197" s="4"/>
      <c r="G197" s="1"/>
      <c r="H197" s="1"/>
      <c r="I197" s="5"/>
      <c r="J197" s="1"/>
      <c r="K197" s="1"/>
      <c r="M197" s="4"/>
      <c r="N197" s="1"/>
      <c r="O197" s="5"/>
      <c r="P197" s="1"/>
      <c r="Q197" s="1"/>
      <c r="S197" s="7"/>
      <c r="T197" s="1"/>
      <c r="U197" s="5"/>
      <c r="V197" s="1"/>
      <c r="W197" s="1"/>
    </row>
    <row r="198" spans="6:23" s="6" customFormat="1" x14ac:dyDescent="0.2">
      <c r="F198" s="4"/>
      <c r="G198" s="1"/>
      <c r="H198" s="1"/>
      <c r="I198" s="5"/>
      <c r="J198" s="1"/>
      <c r="K198" s="1"/>
      <c r="M198" s="4"/>
      <c r="N198" s="1"/>
      <c r="O198" s="5"/>
      <c r="P198" s="1"/>
      <c r="Q198" s="1"/>
      <c r="S198" s="7"/>
      <c r="T198" s="1"/>
      <c r="U198" s="5"/>
      <c r="V198" s="1"/>
      <c r="W198" s="1"/>
    </row>
    <row r="199" spans="6:23" s="6" customFormat="1" x14ac:dyDescent="0.2">
      <c r="F199" s="4"/>
      <c r="G199" s="1"/>
      <c r="H199" s="1"/>
      <c r="I199" s="5"/>
      <c r="J199" s="1"/>
      <c r="K199" s="1"/>
      <c r="M199" s="4"/>
      <c r="N199" s="1"/>
      <c r="O199" s="5"/>
      <c r="P199" s="1"/>
      <c r="Q199" s="1"/>
      <c r="S199" s="7"/>
      <c r="T199" s="1"/>
      <c r="U199" s="5"/>
      <c r="V199" s="1"/>
      <c r="W199" s="1"/>
    </row>
    <row r="200" spans="6:23" s="6" customFormat="1" x14ac:dyDescent="0.2">
      <c r="F200" s="4"/>
      <c r="G200" s="1"/>
      <c r="H200" s="1"/>
      <c r="I200" s="5"/>
      <c r="J200" s="1"/>
      <c r="K200" s="1"/>
      <c r="M200" s="4"/>
      <c r="N200" s="1"/>
      <c r="O200" s="5"/>
      <c r="P200" s="1"/>
      <c r="Q200" s="1"/>
      <c r="S200" s="7"/>
      <c r="T200" s="1"/>
      <c r="U200" s="5"/>
      <c r="V200" s="1"/>
      <c r="W200" s="1"/>
    </row>
    <row r="201" spans="6:23" s="6" customFormat="1" x14ac:dyDescent="0.2">
      <c r="F201" s="4"/>
      <c r="G201" s="1"/>
      <c r="H201" s="1"/>
      <c r="I201" s="5"/>
      <c r="J201" s="1"/>
      <c r="K201" s="1"/>
      <c r="M201" s="4"/>
      <c r="N201" s="1"/>
      <c r="O201" s="5"/>
      <c r="P201" s="1"/>
      <c r="Q201" s="1"/>
      <c r="S201" s="7"/>
      <c r="T201" s="1"/>
      <c r="U201" s="5"/>
      <c r="V201" s="1"/>
      <c r="W201" s="1"/>
    </row>
    <row r="202" spans="6:23" s="6" customFormat="1" x14ac:dyDescent="0.2">
      <c r="F202" s="4"/>
      <c r="G202" s="1"/>
      <c r="H202" s="1"/>
      <c r="I202" s="5"/>
      <c r="J202" s="1"/>
      <c r="K202" s="1"/>
      <c r="M202" s="4"/>
      <c r="N202" s="1"/>
      <c r="O202" s="5"/>
      <c r="P202" s="1"/>
      <c r="Q202" s="1"/>
      <c r="S202" s="7"/>
      <c r="T202" s="1"/>
      <c r="U202" s="5"/>
      <c r="V202" s="1"/>
      <c r="W202" s="1"/>
    </row>
    <row r="203" spans="6:23" s="6" customFormat="1" x14ac:dyDescent="0.2">
      <c r="F203" s="4"/>
      <c r="G203" s="1"/>
      <c r="H203" s="1"/>
      <c r="I203" s="5"/>
      <c r="J203" s="1"/>
      <c r="K203" s="1"/>
      <c r="M203" s="4"/>
      <c r="N203" s="1"/>
      <c r="O203" s="5"/>
      <c r="P203" s="1"/>
      <c r="Q203" s="1"/>
      <c r="S203" s="7"/>
      <c r="T203" s="1"/>
      <c r="U203" s="5"/>
      <c r="V203" s="1"/>
      <c r="W203" s="1"/>
    </row>
    <row r="204" spans="6:23" s="6" customFormat="1" x14ac:dyDescent="0.2">
      <c r="F204" s="4"/>
      <c r="G204" s="1"/>
      <c r="H204" s="1"/>
      <c r="I204" s="5"/>
      <c r="J204" s="1"/>
      <c r="K204" s="1"/>
      <c r="M204" s="4"/>
      <c r="N204" s="1"/>
      <c r="O204" s="5"/>
      <c r="P204" s="1"/>
      <c r="Q204" s="1"/>
      <c r="S204" s="7"/>
      <c r="T204" s="1"/>
      <c r="U204" s="5"/>
      <c r="V204" s="1"/>
      <c r="W204" s="1"/>
    </row>
    <row r="205" spans="6:23" s="6" customFormat="1" x14ac:dyDescent="0.2">
      <c r="F205" s="4"/>
      <c r="G205" s="1"/>
      <c r="H205" s="1"/>
      <c r="I205" s="5"/>
      <c r="J205" s="1"/>
      <c r="K205" s="1"/>
      <c r="M205" s="4"/>
      <c r="N205" s="1"/>
      <c r="O205" s="5"/>
      <c r="P205" s="1"/>
      <c r="Q205" s="1"/>
      <c r="S205" s="7"/>
      <c r="T205" s="1"/>
      <c r="U205" s="5"/>
      <c r="V205" s="1"/>
      <c r="W205" s="1"/>
    </row>
    <row r="206" spans="6:23" s="6" customFormat="1" x14ac:dyDescent="0.2">
      <c r="F206" s="4"/>
      <c r="G206" s="1"/>
      <c r="H206" s="1"/>
      <c r="I206" s="5"/>
      <c r="J206" s="1"/>
      <c r="K206" s="1"/>
      <c r="M206" s="4"/>
      <c r="N206" s="1"/>
      <c r="O206" s="5"/>
      <c r="P206" s="1"/>
      <c r="Q206" s="1"/>
      <c r="S206" s="7"/>
      <c r="T206" s="1"/>
      <c r="U206" s="5"/>
      <c r="V206" s="1"/>
      <c r="W206" s="1"/>
    </row>
    <row r="207" spans="6:23" s="6" customFormat="1" x14ac:dyDescent="0.2">
      <c r="F207" s="4"/>
      <c r="G207" s="1"/>
      <c r="H207" s="1"/>
      <c r="I207" s="5"/>
      <c r="J207" s="1"/>
      <c r="K207" s="1"/>
      <c r="M207" s="4"/>
      <c r="N207" s="1"/>
      <c r="O207" s="5"/>
      <c r="P207" s="1"/>
      <c r="Q207" s="1"/>
      <c r="S207" s="7"/>
      <c r="T207" s="1"/>
      <c r="U207" s="5"/>
      <c r="V207" s="1"/>
      <c r="W207" s="1"/>
    </row>
    <row r="208" spans="6:23" s="6" customFormat="1" x14ac:dyDescent="0.2">
      <c r="F208" s="4"/>
      <c r="G208" s="1"/>
      <c r="H208" s="1"/>
      <c r="I208" s="5"/>
      <c r="J208" s="1"/>
      <c r="K208" s="1"/>
      <c r="M208" s="4"/>
      <c r="N208" s="1"/>
      <c r="O208" s="5"/>
      <c r="P208" s="1"/>
      <c r="Q208" s="1"/>
      <c r="S208" s="7"/>
      <c r="T208" s="1"/>
      <c r="U208" s="5"/>
      <c r="V208" s="1"/>
      <c r="W208" s="1"/>
    </row>
    <row r="209" spans="6:23" s="6" customFormat="1" x14ac:dyDescent="0.2">
      <c r="F209" s="4"/>
      <c r="G209" s="1"/>
      <c r="H209" s="1"/>
      <c r="I209" s="5"/>
      <c r="J209" s="1"/>
      <c r="K209" s="1"/>
      <c r="M209" s="4"/>
      <c r="N209" s="1"/>
      <c r="O209" s="5"/>
      <c r="P209" s="1"/>
      <c r="Q209" s="1"/>
      <c r="S209" s="7"/>
      <c r="T209" s="1"/>
      <c r="U209" s="5"/>
      <c r="V209" s="1"/>
      <c r="W209" s="1"/>
    </row>
    <row r="210" spans="6:23" s="6" customFormat="1" x14ac:dyDescent="0.2">
      <c r="F210" s="4"/>
      <c r="G210" s="1"/>
      <c r="H210" s="1"/>
      <c r="I210" s="5"/>
      <c r="J210" s="1"/>
      <c r="K210" s="1"/>
      <c r="M210" s="4"/>
      <c r="N210" s="1"/>
      <c r="O210" s="5"/>
      <c r="P210" s="1"/>
      <c r="Q210" s="1"/>
      <c r="S210" s="7"/>
      <c r="T210" s="1"/>
      <c r="U210" s="5"/>
      <c r="V210" s="1"/>
      <c r="W210" s="1"/>
    </row>
    <row r="211" spans="6:23" s="6" customFormat="1" x14ac:dyDescent="0.2">
      <c r="F211" s="4"/>
      <c r="G211" s="1"/>
      <c r="H211" s="1"/>
      <c r="I211" s="5"/>
      <c r="J211" s="1"/>
      <c r="K211" s="1"/>
      <c r="M211" s="4"/>
      <c r="N211" s="1"/>
      <c r="O211" s="5"/>
      <c r="P211" s="1"/>
      <c r="Q211" s="1"/>
      <c r="S211" s="7"/>
      <c r="T211" s="1"/>
      <c r="U211" s="5"/>
      <c r="V211" s="1"/>
      <c r="W211" s="1"/>
    </row>
    <row r="212" spans="6:23" s="6" customFormat="1" x14ac:dyDescent="0.2">
      <c r="F212" s="4"/>
      <c r="G212" s="1"/>
      <c r="H212" s="1"/>
      <c r="I212" s="5"/>
      <c r="J212" s="1"/>
      <c r="K212" s="1"/>
      <c r="M212" s="4"/>
      <c r="N212" s="1"/>
      <c r="O212" s="5"/>
      <c r="P212" s="1"/>
      <c r="Q212" s="1"/>
      <c r="S212" s="7"/>
      <c r="T212" s="1"/>
      <c r="U212" s="5"/>
      <c r="V212" s="1"/>
      <c r="W212" s="1"/>
    </row>
    <row r="213" spans="6:23" s="6" customFormat="1" x14ac:dyDescent="0.2">
      <c r="F213" s="4"/>
      <c r="G213" s="1"/>
      <c r="H213" s="1"/>
      <c r="I213" s="5"/>
      <c r="J213" s="1"/>
      <c r="K213" s="1"/>
      <c r="M213" s="4"/>
      <c r="N213" s="1"/>
      <c r="O213" s="5"/>
      <c r="P213" s="1"/>
      <c r="Q213" s="1"/>
      <c r="S213" s="7"/>
      <c r="T213" s="1"/>
      <c r="U213" s="5"/>
      <c r="V213" s="1"/>
      <c r="W213" s="1"/>
    </row>
    <row r="214" spans="6:23" s="6" customFormat="1" x14ac:dyDescent="0.2">
      <c r="F214" s="4"/>
      <c r="G214" s="1"/>
      <c r="H214" s="1"/>
      <c r="I214" s="5"/>
      <c r="J214" s="1"/>
      <c r="K214" s="1"/>
      <c r="M214" s="4"/>
      <c r="N214" s="1"/>
      <c r="O214" s="5"/>
      <c r="P214" s="1"/>
      <c r="Q214" s="1"/>
      <c r="S214" s="7"/>
      <c r="T214" s="1"/>
      <c r="U214" s="5"/>
      <c r="V214" s="1"/>
      <c r="W214" s="1"/>
    </row>
    <row r="215" spans="6:23" s="6" customFormat="1" x14ac:dyDescent="0.2">
      <c r="F215" s="4"/>
      <c r="G215" s="1"/>
      <c r="H215" s="1"/>
      <c r="I215" s="5"/>
      <c r="J215" s="1"/>
      <c r="K215" s="1"/>
      <c r="M215" s="4"/>
      <c r="N215" s="1"/>
      <c r="O215" s="5"/>
      <c r="P215" s="1"/>
      <c r="Q215" s="1"/>
      <c r="S215" s="7"/>
      <c r="T215" s="1"/>
      <c r="U215" s="5"/>
      <c r="V215" s="1"/>
      <c r="W215" s="1"/>
    </row>
    <row r="216" spans="6:23" s="6" customFormat="1" x14ac:dyDescent="0.2">
      <c r="F216" s="4"/>
      <c r="G216" s="1"/>
      <c r="H216" s="1"/>
      <c r="I216" s="5"/>
      <c r="J216" s="1"/>
      <c r="K216" s="1"/>
      <c r="M216" s="4"/>
      <c r="N216" s="1"/>
      <c r="O216" s="5"/>
      <c r="P216" s="1"/>
      <c r="Q216" s="1"/>
      <c r="S216" s="7"/>
      <c r="T216" s="1"/>
      <c r="U216" s="5"/>
      <c r="V216" s="1"/>
      <c r="W216" s="1"/>
    </row>
    <row r="217" spans="6:23" s="6" customFormat="1" x14ac:dyDescent="0.2">
      <c r="F217" s="4"/>
      <c r="G217" s="1"/>
      <c r="H217" s="1"/>
      <c r="I217" s="5"/>
      <c r="J217" s="1"/>
      <c r="K217" s="1"/>
      <c r="M217" s="4"/>
      <c r="N217" s="1"/>
      <c r="O217" s="5"/>
      <c r="P217" s="1"/>
      <c r="Q217" s="1"/>
      <c r="S217" s="7"/>
      <c r="T217" s="1"/>
      <c r="U217" s="5"/>
      <c r="V217" s="1"/>
      <c r="W217" s="1"/>
    </row>
    <row r="218" spans="6:23" s="6" customFormat="1" x14ac:dyDescent="0.2">
      <c r="F218" s="4"/>
      <c r="G218" s="1"/>
      <c r="H218" s="1"/>
      <c r="I218" s="5"/>
      <c r="J218" s="1"/>
      <c r="K218" s="1"/>
      <c r="M218" s="4"/>
      <c r="N218" s="1"/>
      <c r="O218" s="5"/>
      <c r="P218" s="1"/>
      <c r="Q218" s="1"/>
      <c r="S218" s="7"/>
      <c r="T218" s="1"/>
      <c r="U218" s="5"/>
      <c r="V218" s="1"/>
      <c r="W218" s="1"/>
    </row>
    <row r="219" spans="6:23" s="6" customFormat="1" x14ac:dyDescent="0.2">
      <c r="F219" s="4"/>
      <c r="G219" s="1"/>
      <c r="H219" s="1"/>
      <c r="I219" s="5"/>
      <c r="J219" s="1"/>
      <c r="K219" s="1"/>
      <c r="M219" s="4"/>
      <c r="N219" s="1"/>
      <c r="O219" s="5"/>
      <c r="P219" s="1"/>
      <c r="Q219" s="1"/>
      <c r="S219" s="7"/>
      <c r="T219" s="1"/>
      <c r="U219" s="5"/>
      <c r="V219" s="1"/>
      <c r="W219" s="1"/>
    </row>
    <row r="220" spans="6:23" s="6" customFormat="1" x14ac:dyDescent="0.2">
      <c r="F220" s="4"/>
      <c r="G220" s="1"/>
      <c r="H220" s="1"/>
      <c r="I220" s="5"/>
      <c r="J220" s="1"/>
      <c r="K220" s="1"/>
      <c r="M220" s="4"/>
      <c r="N220" s="1"/>
      <c r="O220" s="5"/>
      <c r="P220" s="1"/>
      <c r="Q220" s="1"/>
      <c r="S220" s="7"/>
      <c r="T220" s="1"/>
      <c r="U220" s="5"/>
      <c r="V220" s="1"/>
      <c r="W220" s="1"/>
    </row>
    <row r="221" spans="6:23" s="6" customFormat="1" x14ac:dyDescent="0.2">
      <c r="F221" s="4"/>
      <c r="G221" s="1"/>
      <c r="H221" s="1"/>
      <c r="I221" s="5"/>
      <c r="J221" s="1"/>
      <c r="K221" s="1"/>
      <c r="M221" s="4"/>
      <c r="N221" s="1"/>
      <c r="O221" s="5"/>
      <c r="P221" s="1"/>
      <c r="Q221" s="1"/>
      <c r="S221" s="7"/>
      <c r="T221" s="1"/>
      <c r="U221" s="5"/>
      <c r="V221" s="1"/>
      <c r="W221" s="1"/>
    </row>
    <row r="222" spans="6:23" s="6" customFormat="1" x14ac:dyDescent="0.2">
      <c r="F222" s="4"/>
      <c r="G222" s="1"/>
      <c r="H222" s="1"/>
      <c r="I222" s="5"/>
      <c r="J222" s="1"/>
      <c r="K222" s="1"/>
      <c r="M222" s="4"/>
      <c r="N222" s="1"/>
      <c r="O222" s="5"/>
      <c r="P222" s="1"/>
      <c r="Q222" s="1"/>
      <c r="S222" s="7"/>
      <c r="T222" s="1"/>
      <c r="U222" s="5"/>
      <c r="V222" s="1"/>
      <c r="W222" s="1"/>
    </row>
    <row r="223" spans="6:23" s="6" customFormat="1" x14ac:dyDescent="0.2">
      <c r="F223" s="4"/>
      <c r="G223" s="1"/>
      <c r="H223" s="1"/>
      <c r="I223" s="5"/>
      <c r="J223" s="1"/>
      <c r="K223" s="1"/>
      <c r="M223" s="4"/>
      <c r="N223" s="1"/>
      <c r="O223" s="5"/>
      <c r="P223" s="1"/>
      <c r="Q223" s="1"/>
      <c r="S223" s="7"/>
      <c r="T223" s="1"/>
      <c r="U223" s="5"/>
      <c r="V223" s="1"/>
      <c r="W223" s="1"/>
    </row>
    <row r="224" spans="6:23" s="6" customFormat="1" x14ac:dyDescent="0.2">
      <c r="F224" s="4"/>
      <c r="G224" s="1"/>
      <c r="H224" s="1"/>
      <c r="I224" s="5"/>
      <c r="J224" s="1"/>
      <c r="K224" s="1"/>
      <c r="M224" s="4"/>
      <c r="N224" s="1"/>
      <c r="O224" s="5"/>
      <c r="P224" s="1"/>
      <c r="Q224" s="1"/>
      <c r="S224" s="7"/>
      <c r="T224" s="1"/>
      <c r="U224" s="5"/>
      <c r="V224" s="1"/>
      <c r="W224" s="1"/>
    </row>
    <row r="225" spans="6:23" s="6" customFormat="1" x14ac:dyDescent="0.2">
      <c r="F225" s="4"/>
      <c r="G225" s="1"/>
      <c r="H225" s="1"/>
      <c r="I225" s="5"/>
      <c r="J225" s="1"/>
      <c r="K225" s="1"/>
      <c r="M225" s="4"/>
      <c r="N225" s="1"/>
      <c r="O225" s="5"/>
      <c r="P225" s="1"/>
      <c r="Q225" s="1"/>
      <c r="S225" s="7"/>
      <c r="T225" s="1"/>
      <c r="U225" s="5"/>
      <c r="V225" s="1"/>
      <c r="W225" s="1"/>
    </row>
    <row r="226" spans="6:23" s="6" customFormat="1" x14ac:dyDescent="0.2">
      <c r="F226" s="4"/>
      <c r="G226" s="1"/>
      <c r="H226" s="1"/>
      <c r="I226" s="5"/>
      <c r="J226" s="1"/>
      <c r="K226" s="1"/>
      <c r="M226" s="4"/>
      <c r="N226" s="1"/>
      <c r="O226" s="5"/>
      <c r="P226" s="1"/>
      <c r="Q226" s="1"/>
      <c r="S226" s="7"/>
      <c r="T226" s="1"/>
      <c r="U226" s="5"/>
      <c r="V226" s="1"/>
      <c r="W226" s="1"/>
    </row>
    <row r="227" spans="6:23" s="6" customFormat="1" x14ac:dyDescent="0.2">
      <c r="F227" s="4"/>
      <c r="G227" s="1"/>
      <c r="H227" s="1"/>
      <c r="I227" s="5"/>
      <c r="J227" s="1"/>
      <c r="K227" s="1"/>
      <c r="M227" s="4"/>
      <c r="N227" s="1"/>
      <c r="O227" s="5"/>
      <c r="P227" s="1"/>
      <c r="Q227" s="1"/>
      <c r="S227" s="7"/>
      <c r="T227" s="1"/>
      <c r="U227" s="5"/>
      <c r="V227" s="1"/>
      <c r="W227" s="1"/>
    </row>
    <row r="228" spans="6:23" s="6" customFormat="1" x14ac:dyDescent="0.2">
      <c r="F228" s="4"/>
      <c r="G228" s="1"/>
      <c r="H228" s="1"/>
      <c r="I228" s="5"/>
      <c r="J228" s="1"/>
      <c r="K228" s="1"/>
      <c r="M228" s="4"/>
      <c r="N228" s="1"/>
      <c r="O228" s="5"/>
      <c r="P228" s="1"/>
      <c r="Q228" s="1"/>
      <c r="S228" s="7"/>
      <c r="T228" s="1"/>
      <c r="U228" s="5"/>
      <c r="V228" s="1"/>
      <c r="W228" s="1"/>
    </row>
    <row r="229" spans="6:23" s="6" customFormat="1" x14ac:dyDescent="0.2">
      <c r="F229" s="4"/>
      <c r="G229" s="1"/>
      <c r="H229" s="1"/>
      <c r="I229" s="5"/>
      <c r="J229" s="1"/>
      <c r="K229" s="1"/>
      <c r="M229" s="4"/>
      <c r="N229" s="1"/>
      <c r="O229" s="5"/>
      <c r="P229" s="1"/>
      <c r="Q229" s="1"/>
      <c r="S229" s="7"/>
      <c r="T229" s="1"/>
      <c r="U229" s="5"/>
      <c r="V229" s="1"/>
      <c r="W229" s="1"/>
    </row>
    <row r="230" spans="6:23" s="6" customFormat="1" x14ac:dyDescent="0.2">
      <c r="F230" s="4"/>
      <c r="G230" s="1"/>
      <c r="H230" s="1"/>
      <c r="I230" s="5"/>
      <c r="J230" s="1"/>
      <c r="K230" s="1"/>
      <c r="M230" s="4"/>
      <c r="N230" s="1"/>
      <c r="O230" s="5"/>
      <c r="P230" s="1"/>
      <c r="Q230" s="1"/>
      <c r="S230" s="7"/>
      <c r="T230" s="1"/>
      <c r="U230" s="5"/>
      <c r="V230" s="1"/>
      <c r="W230" s="1"/>
    </row>
    <row r="231" spans="6:23" s="6" customFormat="1" x14ac:dyDescent="0.2">
      <c r="F231" s="4"/>
      <c r="G231" s="1"/>
      <c r="H231" s="1"/>
      <c r="I231" s="5"/>
      <c r="J231" s="1"/>
      <c r="K231" s="1"/>
      <c r="M231" s="4"/>
      <c r="N231" s="1"/>
      <c r="O231" s="5"/>
      <c r="P231" s="1"/>
      <c r="Q231" s="1"/>
      <c r="S231" s="7"/>
      <c r="T231" s="1"/>
      <c r="U231" s="5"/>
      <c r="V231" s="1"/>
      <c r="W231" s="1"/>
    </row>
    <row r="232" spans="6:23" s="6" customFormat="1" x14ac:dyDescent="0.2">
      <c r="F232" s="4"/>
      <c r="G232" s="1"/>
      <c r="H232" s="1"/>
      <c r="I232" s="5"/>
      <c r="J232" s="1"/>
      <c r="K232" s="1"/>
      <c r="M232" s="4"/>
      <c r="N232" s="1"/>
      <c r="O232" s="5"/>
      <c r="P232" s="1"/>
      <c r="Q232" s="1"/>
      <c r="S232" s="7"/>
      <c r="T232" s="1"/>
      <c r="U232" s="5"/>
      <c r="V232" s="1"/>
      <c r="W232" s="1"/>
    </row>
    <row r="233" spans="6:23" s="6" customFormat="1" x14ac:dyDescent="0.2">
      <c r="F233" s="4"/>
      <c r="G233" s="1"/>
      <c r="H233" s="1"/>
      <c r="I233" s="5"/>
      <c r="J233" s="1"/>
      <c r="K233" s="1"/>
      <c r="M233" s="4"/>
      <c r="N233" s="1"/>
      <c r="O233" s="5"/>
      <c r="P233" s="1"/>
      <c r="Q233" s="1"/>
      <c r="S233" s="7"/>
      <c r="T233" s="1"/>
      <c r="U233" s="5"/>
      <c r="V233" s="1"/>
      <c r="W233" s="1"/>
    </row>
    <row r="234" spans="6:23" s="6" customFormat="1" x14ac:dyDescent="0.2">
      <c r="F234" s="4"/>
      <c r="G234" s="1"/>
      <c r="H234" s="1"/>
      <c r="I234" s="5"/>
      <c r="J234" s="1"/>
      <c r="K234" s="1"/>
      <c r="M234" s="4"/>
      <c r="N234" s="1"/>
      <c r="O234" s="5"/>
      <c r="P234" s="1"/>
      <c r="Q234" s="1"/>
      <c r="S234" s="7"/>
      <c r="T234" s="1"/>
      <c r="U234" s="5"/>
      <c r="V234" s="1"/>
      <c r="W234" s="1"/>
    </row>
    <row r="235" spans="6:23" s="6" customFormat="1" x14ac:dyDescent="0.2">
      <c r="F235" s="4"/>
      <c r="G235" s="1"/>
      <c r="H235" s="1"/>
      <c r="I235" s="5"/>
      <c r="J235" s="1"/>
      <c r="K235" s="1"/>
      <c r="M235" s="4"/>
      <c r="N235" s="1"/>
      <c r="O235" s="5"/>
      <c r="P235" s="1"/>
      <c r="Q235" s="1"/>
      <c r="S235" s="7"/>
      <c r="T235" s="1"/>
      <c r="U235" s="5"/>
      <c r="V235" s="1"/>
      <c r="W235" s="1"/>
    </row>
    <row r="236" spans="6:23" s="6" customFormat="1" x14ac:dyDescent="0.2">
      <c r="F236" s="4"/>
      <c r="G236" s="1"/>
      <c r="H236" s="1"/>
      <c r="I236" s="5"/>
      <c r="J236" s="1"/>
      <c r="K236" s="1"/>
      <c r="M236" s="4"/>
      <c r="N236" s="1"/>
      <c r="O236" s="5"/>
      <c r="P236" s="1"/>
      <c r="Q236" s="1"/>
      <c r="S236" s="7"/>
      <c r="T236" s="1"/>
      <c r="U236" s="5"/>
      <c r="V236" s="1"/>
      <c r="W236" s="1"/>
    </row>
    <row r="237" spans="6:23" s="6" customFormat="1" x14ac:dyDescent="0.2">
      <c r="F237" s="4"/>
      <c r="G237" s="1"/>
      <c r="H237" s="1"/>
      <c r="I237" s="5"/>
      <c r="J237" s="1"/>
      <c r="K237" s="1"/>
      <c r="M237" s="4"/>
      <c r="N237" s="1"/>
      <c r="O237" s="5"/>
      <c r="P237" s="1"/>
      <c r="Q237" s="1"/>
      <c r="S237" s="7"/>
      <c r="T237" s="1"/>
      <c r="U237" s="5"/>
      <c r="V237" s="1"/>
      <c r="W237" s="1"/>
    </row>
    <row r="238" spans="6:23" s="6" customFormat="1" x14ac:dyDescent="0.2">
      <c r="F238" s="4"/>
      <c r="G238" s="1"/>
      <c r="H238" s="1"/>
      <c r="I238" s="5"/>
      <c r="J238" s="1"/>
      <c r="K238" s="1"/>
      <c r="M238" s="4"/>
      <c r="N238" s="1"/>
      <c r="O238" s="5"/>
      <c r="P238" s="1"/>
      <c r="Q238" s="1"/>
      <c r="S238" s="7"/>
      <c r="T238" s="1"/>
      <c r="U238" s="5"/>
      <c r="V238" s="1"/>
      <c r="W238" s="1"/>
    </row>
    <row r="239" spans="6:23" s="6" customFormat="1" x14ac:dyDescent="0.2">
      <c r="F239" s="4"/>
      <c r="G239" s="1"/>
      <c r="H239" s="1"/>
      <c r="I239" s="5"/>
      <c r="J239" s="1"/>
      <c r="K239" s="1"/>
      <c r="M239" s="4"/>
      <c r="N239" s="1"/>
      <c r="O239" s="5"/>
      <c r="P239" s="1"/>
      <c r="Q239" s="1"/>
      <c r="S239" s="7"/>
      <c r="T239" s="1"/>
      <c r="U239" s="5"/>
      <c r="V239" s="1"/>
      <c r="W239" s="1"/>
    </row>
    <row r="240" spans="6:23" s="6" customFormat="1" x14ac:dyDescent="0.2">
      <c r="F240" s="4"/>
      <c r="G240" s="1"/>
      <c r="H240" s="1"/>
      <c r="I240" s="5"/>
      <c r="J240" s="1"/>
      <c r="K240" s="1"/>
      <c r="M240" s="4"/>
      <c r="N240" s="1"/>
      <c r="O240" s="5"/>
      <c r="P240" s="1"/>
      <c r="Q240" s="1"/>
      <c r="S240" s="7"/>
      <c r="T240" s="1"/>
      <c r="U240" s="5"/>
      <c r="V240" s="1"/>
      <c r="W240" s="1"/>
    </row>
    <row r="241" spans="6:23" s="6" customFormat="1" x14ac:dyDescent="0.2">
      <c r="F241" s="4"/>
      <c r="G241" s="1"/>
      <c r="H241" s="1"/>
      <c r="I241" s="5"/>
      <c r="J241" s="1"/>
      <c r="K241" s="1"/>
      <c r="M241" s="4"/>
      <c r="N241" s="1"/>
      <c r="O241" s="5"/>
      <c r="P241" s="1"/>
      <c r="Q241" s="1"/>
      <c r="S241" s="7"/>
      <c r="T241" s="1"/>
      <c r="U241" s="5"/>
      <c r="V241" s="1"/>
      <c r="W241" s="1"/>
    </row>
    <row r="242" spans="6:23" s="6" customFormat="1" x14ac:dyDescent="0.2">
      <c r="F242" s="4"/>
      <c r="G242" s="1"/>
      <c r="H242" s="1"/>
      <c r="I242" s="5"/>
      <c r="J242" s="1"/>
      <c r="K242" s="1"/>
      <c r="M242" s="4"/>
      <c r="N242" s="1"/>
      <c r="O242" s="5"/>
      <c r="P242" s="1"/>
      <c r="Q242" s="1"/>
      <c r="S242" s="7"/>
      <c r="T242" s="1"/>
      <c r="U242" s="5"/>
      <c r="V242" s="1"/>
      <c r="W242" s="1"/>
    </row>
    <row r="243" spans="6:23" s="6" customFormat="1" x14ac:dyDescent="0.2">
      <c r="F243" s="4"/>
      <c r="G243" s="1"/>
      <c r="H243" s="1"/>
      <c r="I243" s="5"/>
      <c r="J243" s="1"/>
      <c r="K243" s="1"/>
      <c r="M243" s="4"/>
      <c r="N243" s="1"/>
      <c r="O243" s="5"/>
      <c r="P243" s="1"/>
      <c r="Q243" s="1"/>
      <c r="S243" s="7"/>
      <c r="T243" s="1"/>
      <c r="U243" s="5"/>
      <c r="V243" s="1"/>
      <c r="W243" s="1"/>
    </row>
    <row r="244" spans="6:23" s="6" customFormat="1" x14ac:dyDescent="0.2">
      <c r="F244" s="4"/>
      <c r="G244" s="1"/>
      <c r="H244" s="1"/>
      <c r="I244" s="5"/>
      <c r="J244" s="1"/>
      <c r="K244" s="1"/>
      <c r="M244" s="4"/>
      <c r="N244" s="1"/>
      <c r="O244" s="5"/>
      <c r="P244" s="1"/>
      <c r="Q244" s="1"/>
      <c r="S244" s="7"/>
      <c r="T244" s="1"/>
      <c r="U244" s="5"/>
      <c r="V244" s="1"/>
      <c r="W244" s="1"/>
    </row>
    <row r="245" spans="6:23" s="6" customFormat="1" x14ac:dyDescent="0.2">
      <c r="F245" s="4"/>
      <c r="G245" s="1"/>
      <c r="H245" s="1"/>
      <c r="I245" s="5"/>
      <c r="J245" s="1"/>
      <c r="K245" s="1"/>
      <c r="M245" s="4"/>
      <c r="N245" s="1"/>
      <c r="O245" s="5"/>
      <c r="P245" s="1"/>
      <c r="Q245" s="1"/>
      <c r="S245" s="7"/>
      <c r="T245" s="1"/>
      <c r="U245" s="5"/>
      <c r="V245" s="1"/>
      <c r="W245" s="1"/>
    </row>
    <row r="246" spans="6:23" s="6" customFormat="1" x14ac:dyDescent="0.2">
      <c r="F246" s="4"/>
      <c r="G246" s="1"/>
      <c r="H246" s="1"/>
      <c r="I246" s="5"/>
      <c r="J246" s="1"/>
      <c r="K246" s="1"/>
      <c r="M246" s="4"/>
      <c r="N246" s="1"/>
      <c r="O246" s="5"/>
      <c r="P246" s="1"/>
      <c r="Q246" s="1"/>
      <c r="S246" s="7"/>
      <c r="T246" s="1"/>
      <c r="U246" s="5"/>
      <c r="V246" s="1"/>
      <c r="W246" s="1"/>
    </row>
    <row r="247" spans="6:23" s="6" customFormat="1" x14ac:dyDescent="0.2">
      <c r="F247" s="4"/>
      <c r="G247" s="1"/>
      <c r="H247" s="1"/>
      <c r="I247" s="5"/>
      <c r="J247" s="1"/>
      <c r="K247" s="1"/>
      <c r="M247" s="4"/>
      <c r="N247" s="1"/>
      <c r="O247" s="5"/>
      <c r="P247" s="1"/>
      <c r="Q247" s="1"/>
      <c r="S247" s="7"/>
      <c r="T247" s="1"/>
      <c r="U247" s="5"/>
      <c r="V247" s="1"/>
      <c r="W247" s="1"/>
    </row>
    <row r="248" spans="6:23" s="6" customFormat="1" x14ac:dyDescent="0.2">
      <c r="F248" s="4"/>
      <c r="G248" s="1"/>
      <c r="H248" s="1"/>
      <c r="I248" s="5"/>
      <c r="J248" s="1"/>
      <c r="K248" s="1"/>
      <c r="M248" s="4"/>
      <c r="N248" s="1"/>
      <c r="O248" s="5"/>
      <c r="P248" s="1"/>
      <c r="Q248" s="1"/>
      <c r="S248" s="7"/>
      <c r="T248" s="1"/>
      <c r="U248" s="5"/>
      <c r="V248" s="1"/>
      <c r="W248" s="1"/>
    </row>
    <row r="249" spans="6:23" s="6" customFormat="1" x14ac:dyDescent="0.2">
      <c r="F249" s="4"/>
      <c r="G249" s="1"/>
      <c r="H249" s="1"/>
      <c r="I249" s="5"/>
      <c r="J249" s="1"/>
      <c r="K249" s="1"/>
      <c r="M249" s="4"/>
      <c r="N249" s="1"/>
      <c r="O249" s="5"/>
      <c r="P249" s="1"/>
      <c r="Q249" s="1"/>
      <c r="S249" s="7"/>
      <c r="T249" s="1"/>
      <c r="U249" s="5"/>
      <c r="V249" s="1"/>
      <c r="W249" s="1"/>
    </row>
    <row r="250" spans="6:23" s="6" customFormat="1" x14ac:dyDescent="0.2">
      <c r="F250" s="4"/>
      <c r="G250" s="1"/>
      <c r="H250" s="1"/>
      <c r="I250" s="5"/>
      <c r="J250" s="1"/>
      <c r="K250" s="1"/>
      <c r="M250" s="4"/>
      <c r="N250" s="1"/>
      <c r="O250" s="5"/>
      <c r="P250" s="1"/>
      <c r="Q250" s="1"/>
      <c r="S250" s="7"/>
      <c r="T250" s="1"/>
      <c r="U250" s="5"/>
      <c r="V250" s="1"/>
      <c r="W250" s="1"/>
    </row>
    <row r="251" spans="6:23" s="6" customFormat="1" x14ac:dyDescent="0.2">
      <c r="F251" s="4"/>
      <c r="G251" s="1"/>
      <c r="H251" s="1"/>
      <c r="I251" s="5"/>
      <c r="J251" s="1"/>
      <c r="K251" s="1"/>
      <c r="M251" s="4"/>
      <c r="N251" s="1"/>
      <c r="O251" s="5"/>
      <c r="P251" s="1"/>
      <c r="Q251" s="1"/>
      <c r="S251" s="7"/>
      <c r="T251" s="1"/>
      <c r="U251" s="5"/>
      <c r="V251" s="1"/>
      <c r="W251" s="1"/>
    </row>
    <row r="252" spans="6:23" s="6" customFormat="1" x14ac:dyDescent="0.2">
      <c r="F252" s="4"/>
      <c r="G252" s="1"/>
      <c r="H252" s="1"/>
      <c r="I252" s="5"/>
      <c r="J252" s="1"/>
      <c r="K252" s="1"/>
      <c r="M252" s="4"/>
      <c r="N252" s="1"/>
      <c r="O252" s="5"/>
      <c r="P252" s="1"/>
      <c r="Q252" s="1"/>
      <c r="S252" s="7"/>
      <c r="T252" s="1"/>
      <c r="U252" s="5"/>
      <c r="V252" s="1"/>
      <c r="W252" s="1"/>
    </row>
    <row r="253" spans="6:23" s="6" customFormat="1" x14ac:dyDescent="0.2">
      <c r="F253" s="4"/>
      <c r="G253" s="1"/>
      <c r="H253" s="1"/>
      <c r="I253" s="5"/>
      <c r="J253" s="1"/>
      <c r="K253" s="1"/>
      <c r="M253" s="4"/>
      <c r="N253" s="1"/>
      <c r="O253" s="5"/>
      <c r="P253" s="1"/>
      <c r="Q253" s="1"/>
      <c r="S253" s="7"/>
      <c r="T253" s="1"/>
      <c r="U253" s="5"/>
      <c r="V253" s="1"/>
      <c r="W253" s="1"/>
    </row>
    <row r="254" spans="6:23" s="6" customFormat="1" x14ac:dyDescent="0.2">
      <c r="F254" s="4"/>
      <c r="G254" s="1"/>
      <c r="H254" s="1"/>
      <c r="I254" s="5"/>
      <c r="J254" s="1"/>
      <c r="K254" s="1"/>
      <c r="M254" s="4"/>
      <c r="N254" s="1"/>
      <c r="O254" s="5"/>
      <c r="P254" s="1"/>
      <c r="Q254" s="1"/>
      <c r="S254" s="7"/>
      <c r="T254" s="1"/>
      <c r="U254" s="5"/>
      <c r="V254" s="1"/>
      <c r="W254" s="1"/>
    </row>
    <row r="255" spans="6:23" s="6" customFormat="1" x14ac:dyDescent="0.2">
      <c r="F255" s="4"/>
      <c r="G255" s="1"/>
      <c r="H255" s="1"/>
      <c r="I255" s="5"/>
      <c r="J255" s="1"/>
      <c r="K255" s="1"/>
      <c r="M255" s="4"/>
      <c r="N255" s="1"/>
      <c r="O255" s="5"/>
      <c r="P255" s="1"/>
      <c r="Q255" s="1"/>
      <c r="S255" s="7"/>
      <c r="T255" s="1"/>
      <c r="U255" s="5"/>
      <c r="V255" s="1"/>
      <c r="W255" s="1"/>
    </row>
    <row r="256" spans="6:23" s="6" customFormat="1" x14ac:dyDescent="0.2">
      <c r="F256" s="4"/>
      <c r="G256" s="1"/>
      <c r="H256" s="1"/>
      <c r="I256" s="5"/>
      <c r="J256" s="1"/>
      <c r="K256" s="1"/>
      <c r="M256" s="4"/>
      <c r="N256" s="1"/>
      <c r="O256" s="5"/>
      <c r="P256" s="1"/>
      <c r="Q256" s="1"/>
      <c r="S256" s="7"/>
      <c r="T256" s="1"/>
      <c r="U256" s="5"/>
      <c r="V256" s="1"/>
      <c r="W256" s="1"/>
    </row>
    <row r="257" spans="6:23" s="6" customFormat="1" x14ac:dyDescent="0.2">
      <c r="F257" s="4"/>
      <c r="G257" s="1"/>
      <c r="H257" s="1"/>
      <c r="I257" s="5"/>
      <c r="J257" s="1"/>
      <c r="K257" s="1"/>
      <c r="M257" s="4"/>
      <c r="N257" s="1"/>
      <c r="O257" s="5"/>
      <c r="P257" s="1"/>
      <c r="Q257" s="1"/>
      <c r="S257" s="7"/>
      <c r="T257" s="1"/>
      <c r="U257" s="5"/>
      <c r="V257" s="1"/>
      <c r="W257" s="1"/>
    </row>
    <row r="258" spans="6:23" s="6" customFormat="1" x14ac:dyDescent="0.2">
      <c r="F258" s="4"/>
      <c r="G258" s="1"/>
      <c r="H258" s="1"/>
      <c r="I258" s="5"/>
      <c r="J258" s="1"/>
      <c r="K258" s="1"/>
      <c r="M258" s="4"/>
      <c r="N258" s="1"/>
      <c r="O258" s="5"/>
      <c r="P258" s="1"/>
      <c r="Q258" s="1"/>
      <c r="S258" s="7"/>
      <c r="T258" s="1"/>
      <c r="U258" s="5"/>
      <c r="V258" s="1"/>
      <c r="W258" s="1"/>
    </row>
    <row r="259" spans="6:23" s="6" customFormat="1" x14ac:dyDescent="0.2">
      <c r="F259" s="4"/>
      <c r="G259" s="1"/>
      <c r="H259" s="1"/>
      <c r="I259" s="5"/>
      <c r="J259" s="1"/>
      <c r="K259" s="1"/>
      <c r="M259" s="4"/>
      <c r="N259" s="1"/>
      <c r="O259" s="5"/>
      <c r="P259" s="1"/>
      <c r="Q259" s="1"/>
      <c r="S259" s="7"/>
      <c r="T259" s="1"/>
      <c r="U259" s="5"/>
      <c r="V259" s="1"/>
      <c r="W259" s="1"/>
    </row>
    <row r="260" spans="6:23" s="6" customFormat="1" x14ac:dyDescent="0.2">
      <c r="F260" s="4"/>
      <c r="G260" s="1"/>
      <c r="H260" s="1"/>
      <c r="I260" s="5"/>
      <c r="J260" s="1"/>
      <c r="K260" s="1"/>
      <c r="M260" s="4"/>
      <c r="N260" s="1"/>
      <c r="O260" s="5"/>
      <c r="P260" s="1"/>
      <c r="Q260" s="1"/>
      <c r="S260" s="7"/>
      <c r="T260" s="1"/>
      <c r="U260" s="5"/>
      <c r="V260" s="1"/>
      <c r="W260" s="1"/>
    </row>
    <row r="261" spans="6:23" s="6" customFormat="1" x14ac:dyDescent="0.2">
      <c r="F261" s="4"/>
      <c r="G261" s="1"/>
      <c r="H261" s="1"/>
      <c r="I261" s="5"/>
      <c r="J261" s="1"/>
      <c r="K261" s="1"/>
      <c r="M261" s="4"/>
      <c r="N261" s="1"/>
      <c r="O261" s="5"/>
      <c r="P261" s="1"/>
      <c r="Q261" s="1"/>
      <c r="S261" s="7"/>
      <c r="T261" s="1"/>
      <c r="U261" s="5"/>
      <c r="V261" s="1"/>
      <c r="W261" s="1"/>
    </row>
    <row r="262" spans="6:23" s="6" customFormat="1" x14ac:dyDescent="0.2">
      <c r="F262" s="4"/>
      <c r="G262" s="1"/>
      <c r="H262" s="1"/>
      <c r="I262" s="5"/>
      <c r="J262" s="1"/>
      <c r="K262" s="1"/>
      <c r="M262" s="4"/>
      <c r="N262" s="1"/>
      <c r="O262" s="5"/>
      <c r="P262" s="1"/>
      <c r="Q262" s="1"/>
      <c r="S262" s="7"/>
      <c r="T262" s="1"/>
      <c r="U262" s="5"/>
      <c r="V262" s="1"/>
      <c r="W262" s="1"/>
    </row>
    <row r="263" spans="6:23" s="6" customFormat="1" x14ac:dyDescent="0.2">
      <c r="F263" s="4"/>
      <c r="G263" s="1"/>
      <c r="H263" s="1"/>
      <c r="I263" s="5"/>
      <c r="J263" s="1"/>
      <c r="K263" s="1"/>
      <c r="M263" s="4"/>
      <c r="N263" s="1"/>
      <c r="O263" s="5"/>
      <c r="P263" s="1"/>
      <c r="Q263" s="1"/>
      <c r="S263" s="7"/>
      <c r="T263" s="1"/>
      <c r="U263" s="5"/>
      <c r="V263" s="1"/>
      <c r="W263" s="1"/>
    </row>
    <row r="264" spans="6:23" s="6" customFormat="1" x14ac:dyDescent="0.2">
      <c r="F264" s="4"/>
      <c r="G264" s="1"/>
      <c r="H264" s="1"/>
      <c r="I264" s="5"/>
      <c r="J264" s="1"/>
      <c r="K264" s="1"/>
      <c r="M264" s="4"/>
      <c r="N264" s="1"/>
      <c r="O264" s="5"/>
      <c r="P264" s="1"/>
      <c r="Q264" s="1"/>
      <c r="S264" s="7"/>
      <c r="T264" s="1"/>
      <c r="U264" s="5"/>
      <c r="V264" s="1"/>
      <c r="W264" s="1"/>
    </row>
    <row r="265" spans="6:23" s="6" customFormat="1" x14ac:dyDescent="0.2">
      <c r="F265" s="4"/>
      <c r="G265" s="1"/>
      <c r="H265" s="1"/>
      <c r="I265" s="5"/>
      <c r="J265" s="1"/>
      <c r="K265" s="1"/>
      <c r="M265" s="4"/>
      <c r="N265" s="1"/>
      <c r="O265" s="5"/>
      <c r="P265" s="1"/>
      <c r="Q265" s="1"/>
      <c r="S265" s="7"/>
      <c r="T265" s="1"/>
      <c r="U265" s="5"/>
      <c r="V265" s="1"/>
      <c r="W265" s="1"/>
    </row>
    <row r="266" spans="6:23" s="6" customFormat="1" x14ac:dyDescent="0.2">
      <c r="F266" s="4"/>
      <c r="G266" s="1"/>
      <c r="H266" s="1"/>
      <c r="I266" s="5"/>
      <c r="J266" s="1"/>
      <c r="K266" s="1"/>
      <c r="M266" s="4"/>
      <c r="N266" s="1"/>
      <c r="O266" s="5"/>
      <c r="P266" s="1"/>
      <c r="Q266" s="1"/>
      <c r="S266" s="7"/>
      <c r="T266" s="1"/>
      <c r="U266" s="5"/>
      <c r="V266" s="1"/>
      <c r="W266" s="1"/>
    </row>
    <row r="267" spans="6:23" s="6" customFormat="1" x14ac:dyDescent="0.2">
      <c r="F267" s="4"/>
      <c r="G267" s="1"/>
      <c r="H267" s="1"/>
      <c r="I267" s="5"/>
      <c r="J267" s="1"/>
      <c r="K267" s="1"/>
      <c r="M267" s="4"/>
      <c r="N267" s="1"/>
      <c r="O267" s="5"/>
      <c r="P267" s="1"/>
      <c r="Q267" s="1"/>
      <c r="S267" s="7"/>
      <c r="T267" s="1"/>
      <c r="U267" s="5"/>
      <c r="V267" s="1"/>
      <c r="W267" s="1"/>
    </row>
    <row r="268" spans="6:23" s="6" customFormat="1" x14ac:dyDescent="0.2">
      <c r="F268" s="4"/>
      <c r="G268" s="1"/>
      <c r="H268" s="1"/>
      <c r="I268" s="5"/>
      <c r="J268" s="1"/>
      <c r="K268" s="1"/>
      <c r="M268" s="4"/>
      <c r="N268" s="1"/>
      <c r="O268" s="5"/>
      <c r="P268" s="1"/>
      <c r="Q268" s="1"/>
      <c r="S268" s="7"/>
      <c r="T268" s="1"/>
      <c r="U268" s="5"/>
      <c r="V268" s="1"/>
      <c r="W268" s="1"/>
    </row>
    <row r="269" spans="6:23" s="6" customFormat="1" x14ac:dyDescent="0.2">
      <c r="F269" s="4"/>
      <c r="G269" s="1"/>
      <c r="H269" s="1"/>
      <c r="I269" s="5"/>
      <c r="J269" s="1"/>
      <c r="K269" s="1"/>
      <c r="M269" s="4"/>
      <c r="N269" s="1"/>
      <c r="O269" s="5"/>
      <c r="P269" s="1"/>
      <c r="Q269" s="1"/>
      <c r="S269" s="7"/>
      <c r="T269" s="1"/>
      <c r="U269" s="5"/>
      <c r="V269" s="1"/>
      <c r="W269" s="1"/>
    </row>
    <row r="270" spans="6:23" s="6" customFormat="1" x14ac:dyDescent="0.2">
      <c r="F270" s="4"/>
      <c r="G270" s="1"/>
      <c r="H270" s="1"/>
      <c r="I270" s="5"/>
      <c r="J270" s="1"/>
      <c r="K270" s="1"/>
      <c r="M270" s="4"/>
      <c r="N270" s="1"/>
      <c r="O270" s="5"/>
      <c r="P270" s="1"/>
      <c r="Q270" s="1"/>
      <c r="S270" s="7"/>
      <c r="T270" s="1"/>
      <c r="U270" s="5"/>
      <c r="V270" s="1"/>
      <c r="W270" s="1"/>
    </row>
    <row r="271" spans="6:23" s="6" customFormat="1" x14ac:dyDescent="0.2">
      <c r="F271" s="4"/>
      <c r="G271" s="1"/>
      <c r="H271" s="1"/>
      <c r="I271" s="5"/>
      <c r="J271" s="1"/>
      <c r="K271" s="1"/>
      <c r="M271" s="4"/>
      <c r="N271" s="1"/>
      <c r="O271" s="5"/>
      <c r="P271" s="1"/>
      <c r="Q271" s="1"/>
      <c r="S271" s="7"/>
      <c r="T271" s="1"/>
      <c r="U271" s="5"/>
      <c r="V271" s="1"/>
      <c r="W271" s="1"/>
    </row>
    <row r="272" spans="6:23" s="6" customFormat="1" x14ac:dyDescent="0.2">
      <c r="F272" s="4"/>
      <c r="G272" s="1"/>
      <c r="H272" s="1"/>
      <c r="I272" s="5"/>
      <c r="J272" s="1"/>
      <c r="K272" s="1"/>
      <c r="M272" s="4"/>
      <c r="N272" s="1"/>
      <c r="O272" s="5"/>
      <c r="P272" s="1"/>
      <c r="Q272" s="1"/>
      <c r="S272" s="7"/>
      <c r="T272" s="1"/>
      <c r="U272" s="5"/>
      <c r="V272" s="1"/>
      <c r="W272" s="1"/>
    </row>
    <row r="273" spans="6:23" s="6" customFormat="1" x14ac:dyDescent="0.2">
      <c r="F273" s="4"/>
      <c r="G273" s="1"/>
      <c r="H273" s="1"/>
      <c r="I273" s="5"/>
      <c r="J273" s="1"/>
      <c r="K273" s="1"/>
      <c r="M273" s="4"/>
      <c r="N273" s="1"/>
      <c r="O273" s="5"/>
      <c r="P273" s="1"/>
      <c r="Q273" s="1"/>
      <c r="S273" s="7"/>
      <c r="T273" s="1"/>
      <c r="U273" s="5"/>
      <c r="V273" s="1"/>
      <c r="W273" s="1"/>
    </row>
    <row r="274" spans="6:23" s="6" customFormat="1" x14ac:dyDescent="0.2">
      <c r="F274" s="4"/>
      <c r="G274" s="1"/>
      <c r="H274" s="1"/>
      <c r="I274" s="5"/>
      <c r="J274" s="1"/>
      <c r="K274" s="1"/>
      <c r="M274" s="4"/>
      <c r="N274" s="1"/>
      <c r="O274" s="5"/>
      <c r="P274" s="1"/>
      <c r="Q274" s="1"/>
      <c r="S274" s="7"/>
      <c r="T274" s="1"/>
      <c r="U274" s="5"/>
      <c r="V274" s="1"/>
      <c r="W274" s="1"/>
    </row>
    <row r="275" spans="6:23" s="6" customFormat="1" x14ac:dyDescent="0.2">
      <c r="F275" s="4"/>
      <c r="G275" s="1"/>
      <c r="H275" s="1"/>
      <c r="I275" s="5"/>
      <c r="J275" s="1"/>
      <c r="K275" s="1"/>
      <c r="M275" s="4"/>
      <c r="N275" s="1"/>
      <c r="O275" s="5"/>
      <c r="P275" s="1"/>
      <c r="Q275" s="1"/>
      <c r="S275" s="7"/>
      <c r="T275" s="1"/>
      <c r="U275" s="5"/>
      <c r="V275" s="1"/>
      <c r="W275" s="1"/>
    </row>
    <row r="276" spans="6:23" s="6" customFormat="1" x14ac:dyDescent="0.2">
      <c r="F276" s="4"/>
      <c r="G276" s="1"/>
      <c r="H276" s="1"/>
      <c r="I276" s="5"/>
      <c r="J276" s="1"/>
      <c r="K276" s="1"/>
      <c r="M276" s="4"/>
      <c r="N276" s="1"/>
      <c r="O276" s="5"/>
      <c r="P276" s="1"/>
      <c r="Q276" s="1"/>
      <c r="S276" s="7"/>
      <c r="T276" s="1"/>
      <c r="U276" s="5"/>
      <c r="V276" s="1"/>
      <c r="W276" s="1"/>
    </row>
    <row r="277" spans="6:23" s="6" customFormat="1" x14ac:dyDescent="0.2">
      <c r="F277" s="4"/>
      <c r="G277" s="1"/>
      <c r="H277" s="1"/>
      <c r="I277" s="5"/>
      <c r="J277" s="1"/>
      <c r="K277" s="1"/>
      <c r="M277" s="4"/>
      <c r="N277" s="1"/>
      <c r="O277" s="5"/>
      <c r="P277" s="1"/>
      <c r="Q277" s="1"/>
      <c r="S277" s="7"/>
      <c r="T277" s="1"/>
      <c r="U277" s="5"/>
      <c r="V277" s="1"/>
      <c r="W277" s="1"/>
    </row>
    <row r="278" spans="6:23" s="6" customFormat="1" x14ac:dyDescent="0.2">
      <c r="F278" s="4"/>
      <c r="G278" s="1"/>
      <c r="H278" s="1"/>
      <c r="I278" s="5"/>
      <c r="J278" s="1"/>
      <c r="K278" s="1"/>
      <c r="M278" s="4"/>
      <c r="N278" s="1"/>
      <c r="O278" s="5"/>
      <c r="P278" s="1"/>
      <c r="Q278" s="1"/>
      <c r="S278" s="7"/>
      <c r="T278" s="1"/>
      <c r="U278" s="5"/>
      <c r="V278" s="1"/>
      <c r="W278" s="1"/>
    </row>
    <row r="279" spans="6:23" s="6" customFormat="1" x14ac:dyDescent="0.2">
      <c r="F279" s="4"/>
      <c r="G279" s="1"/>
      <c r="H279" s="1"/>
      <c r="I279" s="5"/>
      <c r="J279" s="1"/>
      <c r="K279" s="1"/>
      <c r="M279" s="4"/>
      <c r="N279" s="1"/>
      <c r="O279" s="5"/>
      <c r="P279" s="1"/>
      <c r="Q279" s="1"/>
      <c r="S279" s="7"/>
      <c r="T279" s="1"/>
      <c r="U279" s="5"/>
      <c r="V279" s="1"/>
      <c r="W279" s="1"/>
    </row>
    <row r="280" spans="6:23" s="6" customFormat="1" x14ac:dyDescent="0.2">
      <c r="F280" s="4"/>
      <c r="G280" s="1"/>
      <c r="H280" s="1"/>
      <c r="I280" s="5"/>
      <c r="J280" s="1"/>
      <c r="K280" s="1"/>
      <c r="M280" s="4"/>
      <c r="N280" s="1"/>
      <c r="O280" s="5"/>
      <c r="P280" s="1"/>
      <c r="Q280" s="1"/>
      <c r="S280" s="7"/>
      <c r="T280" s="1"/>
      <c r="U280" s="5"/>
      <c r="V280" s="1"/>
      <c r="W280" s="1"/>
    </row>
    <row r="281" spans="6:23" s="6" customFormat="1" x14ac:dyDescent="0.2">
      <c r="F281" s="4"/>
      <c r="G281" s="1"/>
      <c r="H281" s="1"/>
      <c r="I281" s="5"/>
      <c r="J281" s="1"/>
      <c r="K281" s="1"/>
      <c r="M281" s="4"/>
      <c r="N281" s="1"/>
      <c r="O281" s="5"/>
      <c r="P281" s="1"/>
      <c r="Q281" s="1"/>
      <c r="S281" s="7"/>
      <c r="T281" s="1"/>
      <c r="U281" s="5"/>
      <c r="V281" s="1"/>
      <c r="W281" s="1"/>
    </row>
    <row r="282" spans="6:23" s="6" customFormat="1" x14ac:dyDescent="0.2">
      <c r="F282" s="4"/>
      <c r="G282" s="1"/>
      <c r="H282" s="1"/>
      <c r="I282" s="5"/>
      <c r="J282" s="1"/>
      <c r="K282" s="1"/>
      <c r="M282" s="4"/>
      <c r="N282" s="1"/>
      <c r="O282" s="5"/>
      <c r="P282" s="1"/>
      <c r="Q282" s="1"/>
      <c r="S282" s="7"/>
      <c r="T282" s="1"/>
      <c r="U282" s="5"/>
      <c r="V282" s="1"/>
      <c r="W282" s="1"/>
    </row>
    <row r="283" spans="6:23" s="6" customFormat="1" x14ac:dyDescent="0.2">
      <c r="F283" s="4"/>
      <c r="G283" s="1"/>
      <c r="H283" s="1"/>
      <c r="I283" s="5"/>
      <c r="J283" s="1"/>
      <c r="K283" s="1"/>
      <c r="M283" s="4"/>
      <c r="N283" s="1"/>
      <c r="O283" s="5"/>
      <c r="P283" s="1"/>
      <c r="Q283" s="1"/>
      <c r="S283" s="7"/>
      <c r="T283" s="1"/>
      <c r="U283" s="5"/>
      <c r="V283" s="1"/>
      <c r="W283" s="1"/>
    </row>
    <row r="284" spans="6:23" s="6" customFormat="1" x14ac:dyDescent="0.2">
      <c r="F284" s="4"/>
      <c r="G284" s="1"/>
      <c r="H284" s="1"/>
      <c r="I284" s="5"/>
      <c r="J284" s="1"/>
      <c r="K284" s="1"/>
      <c r="M284" s="4"/>
      <c r="N284" s="1"/>
      <c r="O284" s="5"/>
      <c r="P284" s="1"/>
      <c r="Q284" s="1"/>
      <c r="S284" s="7"/>
      <c r="T284" s="1"/>
      <c r="U284" s="5"/>
      <c r="V284" s="1"/>
      <c r="W284" s="1"/>
    </row>
    <row r="285" spans="6:23" s="6" customFormat="1" x14ac:dyDescent="0.2">
      <c r="F285" s="4"/>
      <c r="G285" s="1"/>
      <c r="H285" s="1"/>
      <c r="I285" s="5"/>
      <c r="J285" s="1"/>
      <c r="K285" s="1"/>
      <c r="M285" s="4"/>
      <c r="N285" s="1"/>
      <c r="O285" s="5"/>
      <c r="P285" s="1"/>
      <c r="Q285" s="1"/>
      <c r="S285" s="7"/>
      <c r="T285" s="1"/>
      <c r="U285" s="5"/>
      <c r="V285" s="1"/>
      <c r="W285" s="1"/>
    </row>
    <row r="286" spans="6:23" s="6" customFormat="1" x14ac:dyDescent="0.2">
      <c r="F286" s="4"/>
      <c r="G286" s="1"/>
      <c r="H286" s="1"/>
      <c r="I286" s="5"/>
      <c r="J286" s="1"/>
      <c r="K286" s="1"/>
      <c r="M286" s="4"/>
      <c r="N286" s="1"/>
      <c r="O286" s="5"/>
      <c r="P286" s="1"/>
      <c r="Q286" s="1"/>
      <c r="S286" s="7"/>
      <c r="T286" s="1"/>
      <c r="U286" s="5"/>
      <c r="V286" s="1"/>
      <c r="W286" s="1"/>
    </row>
    <row r="287" spans="6:23" s="6" customFormat="1" x14ac:dyDescent="0.2">
      <c r="F287" s="4"/>
      <c r="G287" s="1"/>
      <c r="H287" s="1"/>
      <c r="I287" s="5"/>
      <c r="J287" s="1"/>
      <c r="K287" s="1"/>
      <c r="M287" s="4"/>
      <c r="N287" s="1"/>
      <c r="O287" s="5"/>
      <c r="P287" s="1"/>
      <c r="Q287" s="1"/>
      <c r="S287" s="7"/>
      <c r="T287" s="1"/>
      <c r="U287" s="5"/>
      <c r="V287" s="1"/>
      <c r="W287" s="1"/>
    </row>
    <row r="288" spans="6:23" s="6" customFormat="1" x14ac:dyDescent="0.2">
      <c r="F288" s="4"/>
      <c r="G288" s="1"/>
      <c r="H288" s="1"/>
      <c r="I288" s="5"/>
      <c r="J288" s="1"/>
      <c r="K288" s="1"/>
      <c r="M288" s="4"/>
      <c r="N288" s="1"/>
      <c r="O288" s="5"/>
      <c r="P288" s="1"/>
      <c r="Q288" s="1"/>
      <c r="S288" s="7"/>
      <c r="T288" s="1"/>
      <c r="U288" s="5"/>
      <c r="V288" s="1"/>
      <c r="W288" s="1"/>
    </row>
    <row r="289" spans="6:23" s="6" customFormat="1" x14ac:dyDescent="0.2">
      <c r="F289" s="4"/>
      <c r="G289" s="1"/>
      <c r="H289" s="1"/>
      <c r="I289" s="5"/>
      <c r="J289" s="1"/>
      <c r="K289" s="1"/>
      <c r="M289" s="4"/>
      <c r="N289" s="1"/>
      <c r="O289" s="5"/>
      <c r="P289" s="1"/>
      <c r="Q289" s="1"/>
      <c r="S289" s="7"/>
      <c r="T289" s="1"/>
      <c r="U289" s="5"/>
      <c r="V289" s="1"/>
      <c r="W289" s="1"/>
    </row>
    <row r="290" spans="6:23" s="6" customFormat="1" x14ac:dyDescent="0.2">
      <c r="F290" s="4"/>
      <c r="G290" s="1"/>
      <c r="H290" s="1"/>
      <c r="I290" s="5"/>
      <c r="J290" s="1"/>
      <c r="K290" s="1"/>
      <c r="M290" s="4"/>
      <c r="N290" s="1"/>
      <c r="O290" s="5"/>
      <c r="P290" s="1"/>
      <c r="Q290" s="1"/>
      <c r="S290" s="7"/>
      <c r="T290" s="1"/>
      <c r="U290" s="5"/>
      <c r="V290" s="1"/>
      <c r="W290" s="1"/>
    </row>
    <row r="291" spans="6:23" s="6" customFormat="1" x14ac:dyDescent="0.2">
      <c r="F291" s="4"/>
      <c r="G291" s="1"/>
      <c r="H291" s="1"/>
      <c r="I291" s="5"/>
      <c r="J291" s="1"/>
      <c r="K291" s="1"/>
      <c r="M291" s="4"/>
      <c r="N291" s="1"/>
      <c r="O291" s="5"/>
      <c r="P291" s="1"/>
      <c r="Q291" s="1"/>
      <c r="S291" s="7"/>
      <c r="T291" s="1"/>
      <c r="U291" s="5"/>
      <c r="V291" s="1"/>
      <c r="W291" s="1"/>
    </row>
    <row r="292" spans="6:23" s="6" customFormat="1" x14ac:dyDescent="0.2">
      <c r="F292" s="4"/>
      <c r="G292" s="1"/>
      <c r="H292" s="1"/>
      <c r="I292" s="5"/>
      <c r="J292" s="1"/>
      <c r="K292" s="1"/>
      <c r="M292" s="4"/>
      <c r="N292" s="1"/>
      <c r="O292" s="5"/>
      <c r="P292" s="1"/>
      <c r="Q292" s="1"/>
      <c r="S292" s="7"/>
      <c r="T292" s="1"/>
      <c r="U292" s="5"/>
      <c r="V292" s="1"/>
      <c r="W292" s="1"/>
    </row>
    <row r="293" spans="6:23" s="6" customFormat="1" x14ac:dyDescent="0.2">
      <c r="F293" s="4"/>
      <c r="G293" s="1"/>
      <c r="H293" s="1"/>
      <c r="I293" s="5"/>
      <c r="J293" s="1"/>
      <c r="K293" s="1"/>
      <c r="M293" s="4"/>
      <c r="N293" s="1"/>
      <c r="O293" s="5"/>
      <c r="P293" s="1"/>
      <c r="Q293" s="1"/>
      <c r="S293" s="7"/>
      <c r="T293" s="1"/>
      <c r="U293" s="5"/>
      <c r="V293" s="1"/>
      <c r="W293" s="1"/>
    </row>
    <row r="294" spans="6:23" s="6" customFormat="1" x14ac:dyDescent="0.2">
      <c r="F294" s="4"/>
      <c r="G294" s="1"/>
      <c r="H294" s="1"/>
      <c r="I294" s="5"/>
      <c r="J294" s="1"/>
      <c r="K294" s="1"/>
      <c r="M294" s="4"/>
      <c r="N294" s="1"/>
      <c r="O294" s="5"/>
      <c r="P294" s="1"/>
      <c r="Q294" s="1"/>
      <c r="S294" s="7"/>
      <c r="T294" s="1"/>
      <c r="U294" s="5"/>
      <c r="V294" s="1"/>
      <c r="W294" s="1"/>
    </row>
    <row r="295" spans="6:23" s="6" customFormat="1" x14ac:dyDescent="0.2">
      <c r="F295" s="4"/>
      <c r="G295" s="1"/>
      <c r="H295" s="1"/>
      <c r="I295" s="5"/>
      <c r="J295" s="1"/>
      <c r="K295" s="1"/>
      <c r="M295" s="4"/>
      <c r="N295" s="1"/>
      <c r="O295" s="5"/>
      <c r="P295" s="1"/>
      <c r="Q295" s="1"/>
      <c r="S295" s="7"/>
      <c r="T295" s="1"/>
      <c r="U295" s="5"/>
      <c r="V295" s="1"/>
      <c r="W295" s="1"/>
    </row>
    <row r="296" spans="6:23" s="6" customFormat="1" x14ac:dyDescent="0.2">
      <c r="F296" s="4"/>
      <c r="G296" s="1"/>
      <c r="H296" s="1"/>
      <c r="I296" s="5"/>
      <c r="J296" s="1"/>
      <c r="K296" s="1"/>
      <c r="M296" s="4"/>
      <c r="N296" s="1"/>
      <c r="O296" s="5"/>
      <c r="P296" s="1"/>
      <c r="Q296" s="1"/>
      <c r="S296" s="7"/>
      <c r="T296" s="1"/>
      <c r="U296" s="5"/>
      <c r="V296" s="1"/>
      <c r="W296" s="1"/>
    </row>
    <row r="297" spans="6:23" s="6" customFormat="1" x14ac:dyDescent="0.2">
      <c r="F297" s="4"/>
      <c r="G297" s="1"/>
      <c r="H297" s="1"/>
      <c r="I297" s="5"/>
      <c r="J297" s="1"/>
      <c r="K297" s="1"/>
      <c r="M297" s="4"/>
      <c r="N297" s="1"/>
      <c r="O297" s="5"/>
      <c r="P297" s="1"/>
      <c r="Q297" s="1"/>
      <c r="S297" s="7"/>
      <c r="T297" s="1"/>
      <c r="U297" s="5"/>
      <c r="V297" s="1"/>
      <c r="W297" s="1"/>
    </row>
    <row r="298" spans="6:23" s="6" customFormat="1" x14ac:dyDescent="0.2">
      <c r="F298" s="4"/>
      <c r="G298" s="1"/>
      <c r="H298" s="1"/>
      <c r="I298" s="5"/>
      <c r="J298" s="1"/>
      <c r="K298" s="1"/>
      <c r="M298" s="4"/>
      <c r="N298" s="1"/>
      <c r="O298" s="5"/>
      <c r="P298" s="1"/>
      <c r="Q298" s="1"/>
      <c r="S298" s="7"/>
      <c r="T298" s="1"/>
      <c r="U298" s="5"/>
      <c r="V298" s="1"/>
      <c r="W298" s="1"/>
    </row>
    <row r="299" spans="6:23" s="6" customFormat="1" x14ac:dyDescent="0.2">
      <c r="F299" s="4"/>
      <c r="G299" s="1"/>
      <c r="H299" s="1"/>
      <c r="I299" s="5"/>
      <c r="J299" s="1"/>
      <c r="K299" s="1"/>
      <c r="M299" s="4"/>
      <c r="N299" s="1"/>
      <c r="O299" s="5"/>
      <c r="P299" s="1"/>
      <c r="Q299" s="1"/>
      <c r="S299" s="7"/>
      <c r="T299" s="1"/>
      <c r="U299" s="5"/>
      <c r="V299" s="1"/>
      <c r="W299" s="1"/>
    </row>
    <row r="300" spans="6:23" s="6" customFormat="1" x14ac:dyDescent="0.2">
      <c r="F300" s="4"/>
      <c r="G300" s="1"/>
      <c r="H300" s="1"/>
      <c r="I300" s="5"/>
      <c r="J300" s="1"/>
      <c r="K300" s="1"/>
      <c r="M300" s="4"/>
      <c r="N300" s="1"/>
      <c r="O300" s="5"/>
      <c r="P300" s="1"/>
      <c r="Q300" s="1"/>
      <c r="S300" s="7"/>
      <c r="T300" s="1"/>
      <c r="U300" s="5"/>
      <c r="V300" s="1"/>
      <c r="W300" s="1"/>
    </row>
    <row r="301" spans="6:23" s="6" customFormat="1" x14ac:dyDescent="0.2">
      <c r="F301" s="4"/>
      <c r="G301" s="1"/>
      <c r="H301" s="1"/>
      <c r="I301" s="5"/>
      <c r="J301" s="1"/>
      <c r="K301" s="1"/>
      <c r="M301" s="4"/>
      <c r="N301" s="1"/>
      <c r="O301" s="5"/>
      <c r="P301" s="1"/>
      <c r="Q301" s="1"/>
      <c r="S301" s="7"/>
      <c r="T301" s="1"/>
      <c r="U301" s="5"/>
      <c r="V301" s="1"/>
      <c r="W301" s="1"/>
    </row>
    <row r="302" spans="6:23" s="6" customFormat="1" x14ac:dyDescent="0.2">
      <c r="F302" s="4"/>
      <c r="G302" s="1"/>
      <c r="H302" s="1"/>
      <c r="I302" s="5"/>
      <c r="J302" s="1"/>
      <c r="K302" s="1"/>
      <c r="M302" s="4"/>
      <c r="N302" s="1"/>
      <c r="O302" s="5"/>
      <c r="P302" s="1"/>
      <c r="Q302" s="1"/>
      <c r="S302" s="7"/>
      <c r="T302" s="1"/>
      <c r="U302" s="5"/>
      <c r="V302" s="1"/>
      <c r="W302" s="1"/>
    </row>
    <row r="303" spans="6:23" s="6" customFormat="1" x14ac:dyDescent="0.2">
      <c r="F303" s="4"/>
      <c r="G303" s="1"/>
      <c r="H303" s="1"/>
      <c r="I303" s="5"/>
      <c r="J303" s="1"/>
      <c r="K303" s="1"/>
      <c r="M303" s="4"/>
      <c r="N303" s="1"/>
      <c r="O303" s="5"/>
      <c r="P303" s="1"/>
      <c r="Q303" s="1"/>
      <c r="S303" s="7"/>
      <c r="T303" s="1"/>
      <c r="U303" s="5"/>
      <c r="V303" s="1"/>
      <c r="W303" s="1"/>
    </row>
    <row r="304" spans="6:23" s="6" customFormat="1" x14ac:dyDescent="0.2">
      <c r="F304" s="4"/>
      <c r="G304" s="1"/>
      <c r="H304" s="1"/>
      <c r="I304" s="5"/>
      <c r="J304" s="1"/>
      <c r="K304" s="1"/>
      <c r="M304" s="4"/>
      <c r="N304" s="1"/>
      <c r="O304" s="5"/>
      <c r="P304" s="1"/>
      <c r="Q304" s="1"/>
      <c r="S304" s="7"/>
      <c r="T304" s="1"/>
      <c r="U304" s="5"/>
      <c r="V304" s="1"/>
      <c r="W304" s="1"/>
    </row>
    <row r="305" spans="6:23" s="6" customFormat="1" x14ac:dyDescent="0.2">
      <c r="F305" s="4"/>
      <c r="G305" s="1"/>
      <c r="H305" s="1"/>
      <c r="I305" s="5"/>
      <c r="J305" s="1"/>
      <c r="K305" s="1"/>
      <c r="M305" s="4"/>
      <c r="N305" s="1"/>
      <c r="O305" s="5"/>
      <c r="P305" s="1"/>
      <c r="Q305" s="1"/>
      <c r="S305" s="7"/>
      <c r="T305" s="1"/>
      <c r="U305" s="5"/>
      <c r="V305" s="1"/>
      <c r="W305" s="1"/>
    </row>
    <row r="306" spans="6:23" s="6" customFormat="1" x14ac:dyDescent="0.2">
      <c r="F306" s="4"/>
      <c r="G306" s="1"/>
      <c r="H306" s="1"/>
      <c r="I306" s="5"/>
      <c r="J306" s="1"/>
      <c r="K306" s="1"/>
      <c r="M306" s="4"/>
      <c r="N306" s="1"/>
      <c r="O306" s="5"/>
      <c r="P306" s="1"/>
      <c r="Q306" s="1"/>
      <c r="S306" s="7"/>
      <c r="T306" s="1"/>
      <c r="U306" s="5"/>
      <c r="V306" s="1"/>
      <c r="W306" s="1"/>
    </row>
    <row r="307" spans="6:23" s="6" customFormat="1" x14ac:dyDescent="0.2">
      <c r="F307" s="4"/>
      <c r="G307" s="1"/>
      <c r="H307" s="1"/>
      <c r="I307" s="5"/>
      <c r="J307" s="1"/>
      <c r="K307" s="1"/>
      <c r="M307" s="4"/>
      <c r="N307" s="1"/>
      <c r="O307" s="5"/>
      <c r="P307" s="1"/>
      <c r="Q307" s="1"/>
      <c r="S307" s="7"/>
      <c r="T307" s="1"/>
      <c r="U307" s="5"/>
      <c r="V307" s="1"/>
      <c r="W307" s="1"/>
    </row>
    <row r="308" spans="6:23" s="6" customFormat="1" x14ac:dyDescent="0.2">
      <c r="F308" s="4"/>
      <c r="G308" s="1"/>
      <c r="H308" s="1"/>
      <c r="I308" s="5"/>
      <c r="J308" s="1"/>
      <c r="K308" s="1"/>
      <c r="M308" s="4"/>
      <c r="N308" s="1"/>
      <c r="O308" s="5"/>
      <c r="P308" s="1"/>
      <c r="Q308" s="1"/>
      <c r="S308" s="7"/>
      <c r="T308" s="1"/>
      <c r="U308" s="5"/>
      <c r="V308" s="1"/>
      <c r="W308" s="1"/>
    </row>
    <row r="309" spans="6:23" s="6" customFormat="1" x14ac:dyDescent="0.2">
      <c r="F309" s="4"/>
      <c r="G309" s="1"/>
      <c r="H309" s="1"/>
      <c r="I309" s="5"/>
      <c r="J309" s="1"/>
      <c r="K309" s="1"/>
      <c r="M309" s="4"/>
      <c r="N309" s="1"/>
      <c r="O309" s="5"/>
      <c r="P309" s="1"/>
      <c r="Q309" s="1"/>
      <c r="S309" s="7"/>
      <c r="T309" s="1"/>
      <c r="U309" s="5"/>
      <c r="V309" s="1"/>
      <c r="W309" s="1"/>
    </row>
    <row r="310" spans="6:23" s="6" customFormat="1" x14ac:dyDescent="0.2">
      <c r="F310" s="4"/>
      <c r="G310" s="1"/>
      <c r="H310" s="1"/>
      <c r="I310" s="5"/>
      <c r="J310" s="1"/>
      <c r="K310" s="1"/>
      <c r="M310" s="4"/>
      <c r="N310" s="1"/>
      <c r="O310" s="5"/>
      <c r="P310" s="1"/>
      <c r="Q310" s="1"/>
      <c r="S310" s="7"/>
      <c r="T310" s="1"/>
      <c r="U310" s="5"/>
      <c r="V310" s="1"/>
      <c r="W310" s="1"/>
    </row>
    <row r="311" spans="6:23" s="6" customFormat="1" x14ac:dyDescent="0.2">
      <c r="F311" s="4"/>
      <c r="G311" s="1"/>
      <c r="H311" s="1"/>
      <c r="I311" s="5"/>
      <c r="J311" s="1"/>
      <c r="K311" s="1"/>
      <c r="M311" s="4"/>
      <c r="N311" s="1"/>
      <c r="O311" s="5"/>
      <c r="P311" s="1"/>
      <c r="Q311" s="1"/>
      <c r="S311" s="7"/>
      <c r="T311" s="1"/>
      <c r="U311" s="5"/>
      <c r="V311" s="1"/>
      <c r="W311" s="1"/>
    </row>
    <row r="312" spans="6:23" s="6" customFormat="1" x14ac:dyDescent="0.2">
      <c r="F312" s="4"/>
      <c r="G312" s="1"/>
      <c r="H312" s="1"/>
      <c r="I312" s="5"/>
      <c r="J312" s="1"/>
      <c r="K312" s="1"/>
      <c r="M312" s="4"/>
      <c r="N312" s="1"/>
      <c r="O312" s="5"/>
      <c r="P312" s="1"/>
      <c r="Q312" s="1"/>
      <c r="S312" s="7"/>
      <c r="T312" s="1"/>
      <c r="U312" s="5"/>
      <c r="V312" s="1"/>
      <c r="W312" s="1"/>
    </row>
    <row r="313" spans="6:23" s="6" customFormat="1" x14ac:dyDescent="0.2">
      <c r="F313" s="4"/>
      <c r="G313" s="1"/>
      <c r="H313" s="1"/>
      <c r="I313" s="5"/>
      <c r="J313" s="1"/>
      <c r="K313" s="1"/>
      <c r="M313" s="4"/>
      <c r="N313" s="1"/>
      <c r="O313" s="5"/>
      <c r="P313" s="1"/>
      <c r="Q313" s="1"/>
      <c r="S313" s="7"/>
      <c r="T313" s="1"/>
      <c r="U313" s="5"/>
      <c r="V313" s="1"/>
      <c r="W313" s="1"/>
    </row>
    <row r="314" spans="6:23" s="6" customFormat="1" x14ac:dyDescent="0.2">
      <c r="F314" s="4"/>
      <c r="G314" s="1"/>
      <c r="H314" s="1"/>
      <c r="I314" s="5"/>
      <c r="J314" s="1"/>
      <c r="K314" s="1"/>
      <c r="M314" s="4"/>
      <c r="N314" s="1"/>
      <c r="O314" s="5"/>
      <c r="P314" s="1"/>
      <c r="Q314" s="1"/>
      <c r="S314" s="7"/>
      <c r="T314" s="1"/>
      <c r="U314" s="5"/>
      <c r="V314" s="1"/>
      <c r="W314" s="1"/>
    </row>
    <row r="315" spans="6:23" s="6" customFormat="1" x14ac:dyDescent="0.2">
      <c r="F315" s="4"/>
      <c r="G315" s="1"/>
      <c r="H315" s="1"/>
      <c r="I315" s="5"/>
      <c r="J315" s="1"/>
      <c r="K315" s="1"/>
      <c r="M315" s="4"/>
      <c r="N315" s="1"/>
      <c r="O315" s="5"/>
      <c r="P315" s="1"/>
      <c r="Q315" s="1"/>
      <c r="S315" s="7"/>
      <c r="T315" s="1"/>
      <c r="U315" s="5"/>
      <c r="V315" s="1"/>
      <c r="W315" s="1"/>
    </row>
    <row r="316" spans="6:23" s="6" customFormat="1" x14ac:dyDescent="0.2">
      <c r="F316" s="4"/>
      <c r="G316" s="1"/>
      <c r="H316" s="1"/>
      <c r="I316" s="5"/>
      <c r="J316" s="1"/>
      <c r="K316" s="1"/>
      <c r="M316" s="4"/>
      <c r="N316" s="1"/>
      <c r="O316" s="5"/>
      <c r="P316" s="1"/>
      <c r="Q316" s="1"/>
      <c r="S316" s="7"/>
      <c r="T316" s="1"/>
      <c r="U316" s="5"/>
      <c r="V316" s="1"/>
      <c r="W316" s="1"/>
    </row>
    <row r="317" spans="6:23" s="6" customFormat="1" x14ac:dyDescent="0.2">
      <c r="F317" s="4"/>
      <c r="G317" s="1"/>
      <c r="H317" s="1"/>
      <c r="I317" s="5"/>
      <c r="J317" s="1"/>
      <c r="K317" s="1"/>
      <c r="M317" s="4"/>
      <c r="N317" s="1"/>
      <c r="O317" s="5"/>
      <c r="P317" s="1"/>
      <c r="Q317" s="1"/>
      <c r="S317" s="7"/>
      <c r="T317" s="1"/>
      <c r="U317" s="5"/>
      <c r="V317" s="1"/>
      <c r="W317" s="1"/>
    </row>
    <row r="318" spans="6:23" s="6" customFormat="1" x14ac:dyDescent="0.2">
      <c r="F318" s="4"/>
      <c r="G318" s="1"/>
      <c r="H318" s="1"/>
      <c r="I318" s="5"/>
      <c r="J318" s="1"/>
      <c r="K318" s="1"/>
      <c r="M318" s="4"/>
      <c r="N318" s="1"/>
      <c r="O318" s="5"/>
      <c r="P318" s="1"/>
      <c r="Q318" s="1"/>
      <c r="S318" s="7"/>
      <c r="T318" s="1"/>
      <c r="U318" s="5"/>
      <c r="V318" s="1"/>
      <c r="W318" s="1"/>
    </row>
    <row r="319" spans="6:23" s="6" customFormat="1" x14ac:dyDescent="0.2">
      <c r="F319" s="4"/>
      <c r="G319" s="1"/>
      <c r="H319" s="1"/>
      <c r="I319" s="5"/>
      <c r="J319" s="1"/>
      <c r="K319" s="1"/>
      <c r="M319" s="4"/>
      <c r="N319" s="1"/>
      <c r="O319" s="5"/>
      <c r="P319" s="1"/>
      <c r="Q319" s="1"/>
      <c r="S319" s="7"/>
      <c r="T319" s="1"/>
      <c r="U319" s="5"/>
      <c r="V319" s="1"/>
      <c r="W319" s="1"/>
    </row>
    <row r="320" spans="6:23" s="6" customFormat="1" x14ac:dyDescent="0.2">
      <c r="F320" s="4"/>
      <c r="G320" s="1"/>
      <c r="H320" s="1"/>
      <c r="I320" s="5"/>
      <c r="J320" s="1"/>
      <c r="K320" s="1"/>
      <c r="M320" s="4"/>
      <c r="N320" s="1"/>
      <c r="O320" s="5"/>
      <c r="P320" s="1"/>
      <c r="Q320" s="1"/>
      <c r="S320" s="7"/>
      <c r="T320" s="1"/>
      <c r="U320" s="5"/>
      <c r="V320" s="1"/>
      <c r="W320" s="1"/>
    </row>
    <row r="321" spans="6:23" s="6" customFormat="1" x14ac:dyDescent="0.2">
      <c r="F321" s="4"/>
      <c r="G321" s="1"/>
      <c r="H321" s="1"/>
      <c r="I321" s="5"/>
      <c r="J321" s="1"/>
      <c r="K321" s="1"/>
      <c r="M321" s="4"/>
      <c r="N321" s="1"/>
      <c r="O321" s="5"/>
      <c r="P321" s="1"/>
      <c r="Q321" s="1"/>
      <c r="S321" s="7"/>
      <c r="T321" s="1"/>
      <c r="U321" s="5"/>
      <c r="V321" s="1"/>
      <c r="W321" s="1"/>
    </row>
    <row r="322" spans="6:23" s="6" customFormat="1" x14ac:dyDescent="0.2">
      <c r="F322" s="4"/>
      <c r="G322" s="1"/>
      <c r="H322" s="1"/>
      <c r="I322" s="5"/>
      <c r="J322" s="1"/>
      <c r="K322" s="1"/>
      <c r="M322" s="4"/>
      <c r="N322" s="1"/>
      <c r="O322" s="5"/>
      <c r="P322" s="1"/>
      <c r="Q322" s="1"/>
      <c r="S322" s="7"/>
      <c r="T322" s="1"/>
      <c r="U322" s="5"/>
      <c r="V322" s="1"/>
      <c r="W322" s="1"/>
    </row>
    <row r="323" spans="6:23" s="6" customFormat="1" x14ac:dyDescent="0.2">
      <c r="F323" s="4"/>
      <c r="G323" s="1"/>
      <c r="H323" s="1"/>
      <c r="I323" s="5"/>
      <c r="J323" s="1"/>
      <c r="K323" s="1"/>
      <c r="M323" s="4"/>
      <c r="N323" s="1"/>
      <c r="O323" s="5"/>
      <c r="P323" s="1"/>
      <c r="Q323" s="1"/>
      <c r="S323" s="7"/>
      <c r="T323" s="1"/>
      <c r="U323" s="5"/>
      <c r="V323" s="1"/>
      <c r="W323" s="1"/>
    </row>
    <row r="324" spans="6:23" s="6" customFormat="1" x14ac:dyDescent="0.2">
      <c r="F324" s="4"/>
      <c r="G324" s="1"/>
      <c r="H324" s="1"/>
      <c r="I324" s="5"/>
      <c r="J324" s="1"/>
      <c r="K324" s="1"/>
      <c r="M324" s="4"/>
      <c r="N324" s="1"/>
      <c r="O324" s="5"/>
      <c r="P324" s="1"/>
      <c r="Q324" s="1"/>
      <c r="S324" s="7"/>
      <c r="T324" s="1"/>
      <c r="U324" s="5"/>
      <c r="V324" s="1"/>
      <c r="W324" s="1"/>
    </row>
    <row r="325" spans="6:23" s="6" customFormat="1" x14ac:dyDescent="0.2">
      <c r="F325" s="4"/>
      <c r="G325" s="1"/>
      <c r="H325" s="1"/>
      <c r="I325" s="5"/>
      <c r="J325" s="1"/>
      <c r="K325" s="1"/>
      <c r="M325" s="4"/>
      <c r="N325" s="1"/>
      <c r="O325" s="5"/>
      <c r="P325" s="1"/>
      <c r="Q325" s="1"/>
      <c r="S325" s="7"/>
      <c r="T325" s="1"/>
      <c r="U325" s="5"/>
      <c r="V325" s="1"/>
      <c r="W325" s="1"/>
    </row>
    <row r="326" spans="6:23" s="6" customFormat="1" x14ac:dyDescent="0.2">
      <c r="F326" s="4"/>
      <c r="G326" s="1"/>
      <c r="H326" s="1"/>
      <c r="I326" s="5"/>
      <c r="J326" s="1"/>
      <c r="K326" s="1"/>
      <c r="M326" s="4"/>
      <c r="N326" s="1"/>
      <c r="O326" s="5"/>
      <c r="P326" s="1"/>
      <c r="Q326" s="1"/>
      <c r="S326" s="7"/>
      <c r="T326" s="1"/>
      <c r="U326" s="5"/>
      <c r="V326" s="1"/>
      <c r="W326" s="1"/>
    </row>
    <row r="327" spans="6:23" s="6" customFormat="1" x14ac:dyDescent="0.2">
      <c r="F327" s="4"/>
      <c r="G327" s="1"/>
      <c r="H327" s="1"/>
      <c r="I327" s="5"/>
      <c r="J327" s="1"/>
      <c r="K327" s="1"/>
      <c r="M327" s="4"/>
      <c r="N327" s="1"/>
      <c r="O327" s="5"/>
      <c r="P327" s="1"/>
      <c r="Q327" s="1"/>
      <c r="S327" s="7"/>
      <c r="T327" s="1"/>
      <c r="U327" s="5"/>
      <c r="V327" s="1"/>
      <c r="W327" s="1"/>
    </row>
    <row r="328" spans="6:23" s="6" customFormat="1" x14ac:dyDescent="0.2">
      <c r="F328" s="4"/>
      <c r="G328" s="1"/>
      <c r="H328" s="1"/>
      <c r="I328" s="5"/>
      <c r="J328" s="1"/>
      <c r="K328" s="1"/>
      <c r="M328" s="4"/>
      <c r="N328" s="1"/>
      <c r="O328" s="5"/>
      <c r="P328" s="1"/>
      <c r="Q328" s="1"/>
      <c r="S328" s="7"/>
      <c r="T328" s="1"/>
      <c r="U328" s="5"/>
      <c r="V328" s="1"/>
      <c r="W328" s="1"/>
    </row>
    <row r="329" spans="6:23" s="6" customFormat="1" x14ac:dyDescent="0.2">
      <c r="F329" s="4"/>
      <c r="G329" s="1"/>
      <c r="H329" s="1"/>
      <c r="I329" s="5"/>
      <c r="J329" s="1"/>
      <c r="K329" s="1"/>
      <c r="M329" s="4"/>
      <c r="N329" s="1"/>
      <c r="O329" s="5"/>
      <c r="P329" s="1"/>
      <c r="Q329" s="1"/>
      <c r="S329" s="7"/>
      <c r="T329" s="1"/>
      <c r="U329" s="5"/>
      <c r="V329" s="1"/>
      <c r="W329" s="1"/>
    </row>
    <row r="330" spans="6:23" s="6" customFormat="1" x14ac:dyDescent="0.2">
      <c r="F330" s="4"/>
      <c r="G330" s="1"/>
      <c r="H330" s="1"/>
      <c r="I330" s="5"/>
      <c r="J330" s="1"/>
      <c r="K330" s="1"/>
      <c r="M330" s="4"/>
      <c r="N330" s="1"/>
      <c r="O330" s="5"/>
      <c r="P330" s="1"/>
      <c r="Q330" s="1"/>
      <c r="S330" s="7"/>
      <c r="T330" s="1"/>
      <c r="U330" s="5"/>
      <c r="V330" s="1"/>
      <c r="W330" s="1"/>
    </row>
    <row r="331" spans="6:23" s="6" customFormat="1" x14ac:dyDescent="0.2">
      <c r="F331" s="4"/>
      <c r="G331" s="1"/>
      <c r="H331" s="1"/>
      <c r="I331" s="5"/>
      <c r="J331" s="1"/>
      <c r="K331" s="1"/>
      <c r="M331" s="4"/>
      <c r="N331" s="1"/>
      <c r="O331" s="5"/>
      <c r="P331" s="1"/>
      <c r="Q331" s="1"/>
      <c r="S331" s="7"/>
      <c r="T331" s="1"/>
      <c r="U331" s="5"/>
      <c r="V331" s="1"/>
      <c r="W331" s="1"/>
    </row>
    <row r="332" spans="6:23" s="6" customFormat="1" x14ac:dyDescent="0.2">
      <c r="F332" s="4"/>
      <c r="G332" s="1"/>
      <c r="H332" s="1"/>
      <c r="I332" s="5"/>
      <c r="J332" s="1"/>
      <c r="K332" s="1"/>
      <c r="M332" s="4"/>
      <c r="N332" s="1"/>
      <c r="O332" s="5"/>
      <c r="P332" s="1"/>
      <c r="Q332" s="1"/>
      <c r="S332" s="7"/>
      <c r="T332" s="1"/>
      <c r="U332" s="5"/>
      <c r="V332" s="1"/>
      <c r="W332" s="1"/>
    </row>
  </sheetData>
  <mergeCells count="4">
    <mergeCell ref="F2:L2"/>
    <mergeCell ref="M2:R2"/>
    <mergeCell ref="T2:Y2"/>
    <mergeCell ref="Z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Account</cp:lastModifiedBy>
  <dcterms:created xsi:type="dcterms:W3CDTF">2026-04-03T09:54:45Z</dcterms:created>
  <dcterms:modified xsi:type="dcterms:W3CDTF">2026-06-15T10:30:50Z</dcterms:modified>
</cp:coreProperties>
</file>